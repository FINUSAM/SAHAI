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Summary" sheetId="2" state="visible" r:id="rId4"/>
    <sheet name="Tests" sheetId="3" state="visible" r:id="rId5"/>
  </sheets>
  <definedNames>
    <definedName function="false" hidden="true" localSheetId="2" name="_xlnm._FilterDatabase" vbProcedure="false">Tests!$A$1:$M$125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<sst xmlns="http://schemas.openxmlformats.org/spreadsheetml/2006/main" count="1428" uniqueCount="720">
  <si>
    <t xml:space="preserve">Sahai v1 — Acceptance Tests</t>
  </si>
  <si>
    <t xml:space="preserve">Purpose</t>
  </si>
  <si>
    <t xml:space="preserve">Pass/fail checks for every rule in the PRD. A milestone is done when all its Must tests pass (PRD section 16).</t>
  </si>
  <si>
    <t xml:space="preserve">Source</t>
  </si>
  <si>
    <t xml:space="preserve">GTD AI (Sahai) PRD. The PRD § column names the section each test checks.</t>
  </si>
  <si>
    <t xml:space="preserve">Columns you edit</t>
  </si>
  <si>
    <t xml:space="preserve">Status, Tested on and Notes (shaded yellow on the Tests tab). Everything else is the test definition.</t>
  </si>
  <si>
    <t xml:space="preserve">Status values</t>
  </si>
  <si>
    <t xml:space="preserve">Not run · Pass · Fail · Blocked (pick from the dropdown).</t>
  </si>
  <si>
    <t xml:space="preserve">Priority</t>
  </si>
  <si>
    <t xml:space="preserve">Must = required for the milestone to be done. Should = expected, can slip one milestone.</t>
  </si>
  <si>
    <t xml:space="preserve">Checked by</t>
  </si>
  <si>
    <t xml:space="preserve">Founder = testable by using the app. Developer = needs the database, logs or tools to verify.</t>
  </si>
  <si>
    <t xml:space="preserve">Example entry</t>
  </si>
  <si>
    <t xml:space="preserve">Status: Fail  ·  Tested on: 2026-11-03  ·  Notes: 1.2 appeared only after restarting the app</t>
  </si>
  <si>
    <t xml:space="preserve">Default settings assumed</t>
  </si>
  <si>
    <t xml:space="preserve">Day starts at 4:00 AM · Presets: Tonight 8 PM, Tomorrow morning 8 AM, 3 days later 8 AM, Next week Monday 8 AM · Recurring items show 3 days early · Reminder time 9:00 AM · Undo window 5 seconds (all from the PRD).</t>
  </si>
  <si>
    <t xml:space="preserve">Dates used</t>
  </si>
  <si>
    <t xml:space="preserve">Examples use November 2026 (Nov 1 is a Sunday). The four credit card bills follow PRD section 7: HDFC 5th, SBI 12th, ICICI 18th, Axis 25th.</t>
  </si>
  <si>
    <t xml:space="preserve">Weekly cycle</t>
  </si>
  <si>
    <t xml:space="preserve">Re-run Fail and Blocked tests after each build, plus every Must test of the current milestone. Re-run all Must tests before the tester trial.</t>
  </si>
  <si>
    <t xml:space="preserve">Milestone</t>
  </si>
  <si>
    <t xml:space="preserve">Name</t>
  </si>
  <si>
    <t xml:space="preserve">Tests</t>
  </si>
  <si>
    <t xml:space="preserve">Must</t>
  </si>
  <si>
    <t xml:space="preserve">Pass</t>
  </si>
  <si>
    <t xml:space="preserve">Fail</t>
  </si>
  <si>
    <t xml:space="preserve">Blocked</t>
  </si>
  <si>
    <t xml:space="preserve">Not run</t>
  </si>
  <si>
    <t xml:space="preserve">% passed</t>
  </si>
  <si>
    <t xml:space="preserve">Musts passed</t>
  </si>
  <si>
    <t xml:space="preserve">Milestone done?</t>
  </si>
  <si>
    <t xml:space="preserve">M1</t>
  </si>
  <si>
    <t xml:space="preserve">Foundations</t>
  </si>
  <si>
    <t xml:space="preserve">M2</t>
  </si>
  <si>
    <t xml:space="preserve">Core loop</t>
  </si>
  <si>
    <t xml:space="preserve">M3</t>
  </si>
  <si>
    <t xml:space="preserve">Set aside</t>
  </si>
  <si>
    <t xml:space="preserve">M4</t>
  </si>
  <si>
    <t xml:space="preserve">Recurring items</t>
  </si>
  <si>
    <t xml:space="preserve">M5</t>
  </si>
  <si>
    <t xml:space="preserve">Groups and order</t>
  </si>
  <si>
    <t xml:space="preserve">M6</t>
  </si>
  <si>
    <t xml:space="preserve">Capture</t>
  </si>
  <si>
    <t xml:space="preserve">M7</t>
  </si>
  <si>
    <t xml:space="preserve">Polish and safety</t>
  </si>
  <si>
    <t xml:space="preserve">M8</t>
  </si>
  <si>
    <t xml:space="preserve">Release prep</t>
  </si>
  <si>
    <t xml:space="preserve">Total</t>
  </si>
  <si>
    <t xml:space="preserve">v1</t>
  </si>
  <si>
    <t xml:space="preserve">All counts are formulas over the Tests tab; a milestone is done when every Must test passes (PRD section 16).</t>
  </si>
  <si>
    <t xml:space="preserve">ID</t>
  </si>
  <si>
    <t xml:space="preserve">Area</t>
  </si>
  <si>
    <t xml:space="preserve">PRD §</t>
  </si>
  <si>
    <t xml:space="preserve">Scenario</t>
  </si>
  <si>
    <t xml:space="preserve">Given</t>
  </si>
  <si>
    <t xml:space="preserve">When</t>
  </si>
  <si>
    <t xml:space="preserve">Then</t>
  </si>
  <si>
    <t xml:space="preserve">Status</t>
  </si>
  <si>
    <t xml:space="preserve">Tested on</t>
  </si>
  <si>
    <t xml:space="preserve">Notes</t>
  </si>
  <si>
    <t xml:space="preserve">AT-001</t>
  </si>
  <si>
    <t xml:space="preserve">Tree structure</t>
  </si>
  <si>
    <t xml:space="preserve">4, 8.4</t>
  </si>
  <si>
    <t xml:space="preserve">Create every node type</t>
  </si>
  <si>
    <t xml:space="preserve">A fresh install with no data</t>
  </si>
  <si>
    <t xml:space="preserve">The user creates a domain, a stream, a stream item, a project, a task and a subtask in the Explorer</t>
  </si>
  <si>
    <t xml:space="preserve">Each appears under its parent with the right type and stays after closing and reopening the app</t>
  </si>
  <si>
    <t xml:space="preserve">Founder</t>
  </si>
  <si>
    <t xml:space="preserve">AT-002</t>
  </si>
  <si>
    <t xml:space="preserve">4</t>
  </si>
  <si>
    <t xml:space="preserve">Only valid children can be added</t>
  </si>
  <si>
    <t xml:space="preserve">A domain, a stream, a project, a task, a subtask and a stream item exist</t>
  </si>
  <si>
    <t xml:space="preserve">The user opens the add menu on each</t>
  </si>
  <si>
    <t xml:space="preserve">Domain offers stream or project; stream offers stream item only; project offers task only; task offers subtask only; subtask and stream item offer nothing</t>
  </si>
  <si>
    <t xml:space="preserve">AT-003</t>
  </si>
  <si>
    <t xml:space="preserve">4, 5</t>
  </si>
  <si>
    <t xml:space="preserve">Domains and streams have no status</t>
  </si>
  <si>
    <t xml:space="preserve">A domain and a stream exist</t>
  </si>
  <si>
    <t xml:space="preserve">The user opens each one's options in the Explorer</t>
  </si>
  <si>
    <t xml:space="preserve">Neither offers a checkmark or Mark done</t>
  </si>
  <si>
    <t xml:space="preserve">AT-004</t>
  </si>
  <si>
    <t xml:space="preserve">Ordering</t>
  </si>
  <si>
    <t xml:space="preserve">8.4</t>
  </si>
  <si>
    <t xml:space="preserve">Reorder sequential tasks</t>
  </si>
  <si>
    <t xml:space="preserve">A project has Task 1, Task 2 and Task 3</t>
  </si>
  <si>
    <t xml:space="preserve">The user moves Task 3 above Task 1</t>
  </si>
  <si>
    <t xml:space="preserve">The order reads Task 3, Task 1, Task 2, and stays that way after restarting the app</t>
  </si>
  <si>
    <t xml:space="preserve">AT-005</t>
  </si>
  <si>
    <t xml:space="preserve">Reorder subtasks and stream items</t>
  </si>
  <si>
    <t xml:space="preserve">A task has Subtasks A, B, C and a stream has Items X, Y, Z</t>
  </si>
  <si>
    <t xml:space="preserve">The user moves C to the top and Z to the top</t>
  </si>
  <si>
    <t xml:space="preserve">Orders read C, A, B and Z, X, Y, and persist after restart</t>
  </si>
  <si>
    <t xml:space="preserve">AT-006</t>
  </si>
  <si>
    <t xml:space="preserve">Move an item to another parent</t>
  </si>
  <si>
    <t xml:space="preserve">Subtask S sits under Task A; Task B is in the same project</t>
  </si>
  <si>
    <t xml:space="preserve">The user moves S to Task B</t>
  </si>
  <si>
    <t xml:space="preserve">S appears under Task B and no longer under Task A</t>
  </si>
  <si>
    <t xml:space="preserve">Should</t>
  </si>
  <si>
    <t xml:space="preserve">AT-007</t>
  </si>
  <si>
    <t xml:space="preserve">Locks</t>
  </si>
  <si>
    <t xml:space="preserve">Locked tasks are marked</t>
  </si>
  <si>
    <t xml:space="preserve">A project has Task 1 (TODO) and Task 2 (TODO)</t>
  </si>
  <si>
    <t xml:space="preserve">The user views the project in the Explorer</t>
  </si>
  <si>
    <t xml:space="preserve">Task 2 is visibly marked as locked; Task 1 is not</t>
  </si>
  <si>
    <t xml:space="preserve">AT-008</t>
  </si>
  <si>
    <t xml:space="preserve">Delete</t>
  </si>
  <si>
    <t xml:space="preserve">7</t>
  </si>
  <si>
    <t xml:space="preserve">Delete with Undo</t>
  </si>
  <si>
    <t xml:space="preserve">A project with three tasks exists</t>
  </si>
  <si>
    <t xml:space="preserve">The user deletes the project, then taps Undo within 5 seconds</t>
  </si>
  <si>
    <t xml:space="preserve">The project and all three tasks are back exactly as before</t>
  </si>
  <si>
    <t xml:space="preserve">AT-009</t>
  </si>
  <si>
    <t xml:space="preserve">5, 7</t>
  </si>
  <si>
    <t xml:space="preserve">Deleted items vanish but stay in the database</t>
  </si>
  <si>
    <t xml:space="preserve">A project was deleted and the Undo window has passed</t>
  </si>
  <si>
    <t xml:space="preserve">The user checks every screen; the developer inspects the database</t>
  </si>
  <si>
    <t xml:space="preserve">The project and its tasks appear nowhere in the app; their rows still exist with is_deleted = true</t>
  </si>
  <si>
    <t xml:space="preserve">Developer</t>
  </si>
  <si>
    <t xml:space="preserve">AT-010</t>
  </si>
  <si>
    <t xml:space="preserve">Data</t>
  </si>
  <si>
    <t xml:space="preserve">3, 10</t>
  </si>
  <si>
    <t xml:space="preserve">Sync-ready fields are set</t>
  </si>
  <si>
    <t xml:space="preserve">Any new node is created</t>
  </si>
  <si>
    <t xml:space="preserve">The developer inspects its row, then the user edits its title</t>
  </si>
  <si>
    <t xml:space="preserve">The id is a UUID; updated_at is a UTC time and changes after the edit</t>
  </si>
  <si>
    <t xml:space="preserve">AT-011</t>
  </si>
  <si>
    <t xml:space="preserve">3, 13</t>
  </si>
  <si>
    <t xml:space="preserve">No Internet permission in v1</t>
  </si>
  <si>
    <t xml:space="preserve">The v1 release build is installed</t>
  </si>
  <si>
    <t xml:space="preserve">The user opens the app's info page in Android settings</t>
  </si>
  <si>
    <t xml:space="preserve">No Internet (network) permission is listed</t>
  </si>
  <si>
    <t xml:space="preserve">AT-012</t>
  </si>
  <si>
    <t xml:space="preserve">13</t>
  </si>
  <si>
    <t xml:space="preserve">Schema migration keeps data</t>
  </si>
  <si>
    <t xml:space="preserve">A build with real data is installed</t>
  </si>
  <si>
    <t xml:space="preserve">A newer build with a schema change is installed over it</t>
  </si>
  <si>
    <t xml:space="preserve">All data is intact, and a copy of the old database was made before migrating</t>
  </si>
  <si>
    <t xml:space="preserve">AT-013</t>
  </si>
  <si>
    <t xml:space="preserve">Visibility</t>
  </si>
  <si>
    <t xml:space="preserve">6</t>
  </si>
  <si>
    <t xml:space="preserve">Only the first subtask shows</t>
  </si>
  <si>
    <t xml:space="preserve">Project P has Task 1 with Subtasks 1.1 and 1.2, all TODO</t>
  </si>
  <si>
    <t xml:space="preserve">The user opens the Summary</t>
  </si>
  <si>
    <t xml:space="preserve">Only 1.1 shows from Project P</t>
  </si>
  <si>
    <t xml:space="preserve">AT-014</t>
  </si>
  <si>
    <t xml:space="preserve">A task with no subtasks shows directly</t>
  </si>
  <si>
    <t xml:space="preserve">Project P's Task 1 has no subtasks</t>
  </si>
  <si>
    <t xml:space="preserve">Task 1 shows as a card</t>
  </si>
  <si>
    <t xml:space="preserve">AT-015</t>
  </si>
  <si>
    <t xml:space="preserve">Progression</t>
  </si>
  <si>
    <t xml:space="preserve">6, 7</t>
  </si>
  <si>
    <t xml:space="preserve">Next subtask surfaces</t>
  </si>
  <si>
    <t xml:space="preserve">1.1 is showing on the Summary; 1.2 is hidden</t>
  </si>
  <si>
    <t xml:space="preserve">The user marks 1.1 done</t>
  </si>
  <si>
    <t xml:space="preserve">1.1 leaves the Summary and 1.2 appears</t>
  </si>
  <si>
    <t xml:space="preserve">AT-016</t>
  </si>
  <si>
    <t xml:space="preserve">Task surfaces for sign-off</t>
  </si>
  <si>
    <t xml:space="preserve">1.2 is the last TODO subtask of Task 1</t>
  </si>
  <si>
    <t xml:space="preserve">The user marks 1.2 done</t>
  </si>
  <si>
    <t xml:space="preserve">Task 1 appears as a sign-off card and is still TODO</t>
  </si>
  <si>
    <t xml:space="preserve">AT-017</t>
  </si>
  <si>
    <t xml:space="preserve">Next task unlocks after sign-off</t>
  </si>
  <si>
    <t xml:space="preserve">Task 1 is showing for sign-off; Task 2 has Subtasks 2.1 and 2.2</t>
  </si>
  <si>
    <t xml:space="preserve">The user marks Task 1 done</t>
  </si>
  <si>
    <t xml:space="preserve">2.1 appears; nothing else from Task 2 shows</t>
  </si>
  <si>
    <t xml:space="preserve">AT-018</t>
  </si>
  <si>
    <t xml:space="preserve">Locked tasks never show</t>
  </si>
  <si>
    <t xml:space="preserve">Task 1 is TODO; Task 2 has subtasks</t>
  </si>
  <si>
    <t xml:space="preserve">Nothing from Task 2 appears</t>
  </si>
  <si>
    <t xml:space="preserve">AT-019</t>
  </si>
  <si>
    <t xml:space="preserve">Empty project prompts for tasks</t>
  </si>
  <si>
    <t xml:space="preserve">A new project has no tasks</t>
  </si>
  <si>
    <t xml:space="preserve">The project appears as a card prompting the user to add tasks</t>
  </si>
  <si>
    <t xml:space="preserve">AT-020</t>
  </si>
  <si>
    <t xml:space="preserve">Project sign-off</t>
  </si>
  <si>
    <t xml:space="preserve">Every task in Project P is DONE</t>
  </si>
  <si>
    <t xml:space="preserve">The user opens the Summary, then marks Project P done</t>
  </si>
  <si>
    <t xml:space="preserve">Project P appears for sign-off; after marking it done nothing from P shows</t>
  </si>
  <si>
    <t xml:space="preserve">AT-021</t>
  </si>
  <si>
    <t xml:space="preserve">Domains and streams never appear</t>
  </si>
  <si>
    <t xml:space="preserve">An empty domain and an empty stream exist</t>
  </si>
  <si>
    <t xml:space="preserve">Neither appears as a card</t>
  </si>
  <si>
    <t xml:space="preserve">AT-022</t>
  </si>
  <si>
    <t xml:space="preserve">One normal stream item at a time</t>
  </si>
  <si>
    <t xml:space="preserve">A stream has normal items A, B and C in that order</t>
  </si>
  <si>
    <t xml:space="preserve">The user opens the Summary, then marks A done</t>
  </si>
  <si>
    <t xml:space="preserve">Only A shows at first; after A is done, only B shows</t>
  </si>
  <si>
    <t xml:space="preserve">AT-023</t>
  </si>
  <si>
    <t xml:space="preserve">At most one card per project</t>
  </si>
  <si>
    <t xml:space="preserve">A project has three tasks, each with subtasks</t>
  </si>
  <si>
    <t xml:space="preserve">The user works through several items over time</t>
  </si>
  <si>
    <t xml:space="preserve">The Summary never shows more than one card from that project</t>
  </si>
  <si>
    <t xml:space="preserve">AT-024</t>
  </si>
  <si>
    <t xml:space="preserve">5, 6</t>
  </si>
  <si>
    <t xml:space="preserve">Deleted children don't block the parent</t>
  </si>
  <si>
    <t xml:space="preserve">Task 1 has Subtask 1.1 DONE and Subtask 1.2 TODO</t>
  </si>
  <si>
    <t xml:space="preserve">The user deletes 1.2</t>
  </si>
  <si>
    <t xml:space="preserve">Task 1 appears for sign-off</t>
  </si>
  <si>
    <t xml:space="preserve">AT-025</t>
  </si>
  <si>
    <t xml:space="preserve">Undo</t>
  </si>
  <si>
    <t xml:space="preserve">Undo a completion</t>
  </si>
  <si>
    <t xml:space="preserve">1.1 is showing and 1.2 is hidden</t>
  </si>
  <si>
    <t xml:space="preserve">The user marks 1.1 done and taps Undo within 5 seconds</t>
  </si>
  <si>
    <t xml:space="preserve">1.1 is TODO and showing again; 1.2 is hidden again</t>
  </si>
  <si>
    <t xml:space="preserve">AT-026</t>
  </si>
  <si>
    <t xml:space="preserve">Undo window closes</t>
  </si>
  <si>
    <t xml:space="preserve">The user just marked an item done</t>
  </si>
  <si>
    <t xml:space="preserve">5 seconds pass without tapping Undo</t>
  </si>
  <si>
    <t xml:space="preserve">The snackbar disappears and the item stays DONE</t>
  </si>
  <si>
    <t xml:space="preserve">AT-027</t>
  </si>
  <si>
    <t xml:space="preserve">Reopen</t>
  </si>
  <si>
    <t xml:space="preserve">Reopening a child reopens its ancestors</t>
  </si>
  <si>
    <t xml:space="preserve">Task 1 and all its subtasks are DONE</t>
  </si>
  <si>
    <t xml:space="preserve">The user reopens Subtask 1.2 in the Explorer</t>
  </si>
  <si>
    <t xml:space="preserve">1.2 and Task 1 are both TODO, and 1.2 shows on the Summary</t>
  </si>
  <si>
    <t xml:space="preserve">AT-028</t>
  </si>
  <si>
    <t xml:space="preserve">Reopening an earlier task re-locks later ones</t>
  </si>
  <si>
    <t xml:space="preserve">Task 1 is DONE; Task 2 is current with 2.1 DONE and 2.2 TODO</t>
  </si>
  <si>
    <t xml:space="preserve">The user reopens Task 1, then later marks it done again</t>
  </si>
  <si>
    <t xml:space="preserve">Task 1 shows and nothing from Task 2 does; after Task 1 is done, 2.2 shows and 2.1 is still DONE</t>
  </si>
  <si>
    <t xml:space="preserve">AT-029</t>
  </si>
  <si>
    <t xml:space="preserve">Summary</t>
  </si>
  <si>
    <t xml:space="preserve">8.2</t>
  </si>
  <si>
    <t xml:space="preserve">Tapping a card shows its path</t>
  </si>
  <si>
    <t xml:space="preserve">A subtask card is showing</t>
  </si>
  <si>
    <t xml:space="preserve">The user taps it</t>
  </si>
  <si>
    <t xml:space="preserve">The path Domain › Project › Task appears with an Open in tree option that opens it in the Explorer</t>
  </si>
  <si>
    <t xml:space="preserve">AT-030</t>
  </si>
  <si>
    <t xml:space="preserve">Activity log</t>
  </si>
  <si>
    <t xml:space="preserve">9</t>
  </si>
  <si>
    <t xml:space="preserve">Completion is logged</t>
  </si>
  <si>
    <t xml:space="preserve">A subtask is showing</t>
  </si>
  <si>
    <t xml:space="preserve">The user marks it done</t>
  </si>
  <si>
    <t xml:space="preserve">A completed event is stored with node id and type, domain, group, UTC time and time-zone offset</t>
  </si>
  <si>
    <t xml:space="preserve">AT-031</t>
  </si>
  <si>
    <t xml:space="preserve">Surfacing is logged</t>
  </si>
  <si>
    <t xml:space="preserve">A surfaced event is stored for 1.2</t>
  </si>
  <si>
    <t xml:space="preserve">AT-032</t>
  </si>
  <si>
    <t xml:space="preserve">Create, delete, restore and reopen are logged</t>
  </si>
  <si>
    <t xml:space="preserve">A project exists</t>
  </si>
  <si>
    <t xml:space="preserve">The user adds a task, deletes it, taps Undo, completes it, then reopens it</t>
  </si>
  <si>
    <t xml:space="preserve">created, deleted, restored, completed and reopened events are stored in that order</t>
  </si>
  <si>
    <t xml:space="preserve">AT-033</t>
  </si>
  <si>
    <t xml:space="preserve">Setting aside a subtask surfaces the next</t>
  </si>
  <si>
    <t xml:space="preserve">1.1 is showing; 1.2 is TODO</t>
  </si>
  <si>
    <t xml:space="preserve">The user sets 1.1 aside until Tonight with the default scope</t>
  </si>
  <si>
    <t xml:space="preserve">1.1 disappears and 1.2 appears</t>
  </si>
  <si>
    <t xml:space="preserve">AT-034</t>
  </si>
  <si>
    <t xml:space="preserve">A waking subtask takes its place back</t>
  </si>
  <si>
    <t xml:space="preserve">1.1 is set aside until 5:00 PM and 1.2 is showing</t>
  </si>
  <si>
    <t xml:space="preserve">5:00 PM passes while the app is open</t>
  </si>
  <si>
    <t xml:space="preserve">1.1 shows and 1.2 is hidden, without the user doing anything</t>
  </si>
  <si>
    <t xml:space="preserve">AT-035</t>
  </si>
  <si>
    <t xml:space="preserve">All subtasks set aside darkens the branch</t>
  </si>
  <si>
    <t xml:space="preserve">1.1 and 1.2 are the only TODO subtasks of Task 1, and both are set aside</t>
  </si>
  <si>
    <t xml:space="preserve">Nothing from Project P shows, and Task 1 does not appear</t>
  </si>
  <si>
    <t xml:space="preserve">AT-036</t>
  </si>
  <si>
    <t xml:space="preserve">Set aside scope</t>
  </si>
  <si>
    <t xml:space="preserve">Scope options match the card type</t>
  </si>
  <si>
    <t xml:space="preserve">A subtask, a task, a project and a stream item card are showing</t>
  </si>
  <si>
    <t xml:space="preserve">The user opens Set aside on each</t>
  </si>
  <si>
    <t xml:space="preserve">Scope defaults to the item itself. Subtask offers its task, project or domain; task offers its project or domain; project offers its domain; stream item offers its stream or domain</t>
  </si>
  <si>
    <t xml:space="preserve">AT-037</t>
  </si>
  <si>
    <t xml:space="preserve">Scope: its task</t>
  </si>
  <si>
    <t xml:space="preserve">1.1 is showing</t>
  </si>
  <si>
    <t xml:space="preserve">The user sets it aside with scope Its task until tomorrow 8 AM</t>
  </si>
  <si>
    <t xml:space="preserve">Nothing from Task 1 shows; only Task 1 holds the wake time; at 8 AM, 1.1 shows again</t>
  </si>
  <si>
    <t xml:space="preserve">AT-038</t>
  </si>
  <si>
    <t xml:space="preserve">Scope: its project</t>
  </si>
  <si>
    <t xml:space="preserve">A subtask from Project P is showing</t>
  </si>
  <si>
    <t xml:space="preserve">The user sets it aside with scope Its project</t>
  </si>
  <si>
    <t xml:space="preserve">Nothing from Project P shows; only Project P holds the wake time</t>
  </si>
  <si>
    <t xml:space="preserve">AT-039</t>
  </si>
  <si>
    <t xml:space="preserve">Scope: its domain</t>
  </si>
  <si>
    <t xml:space="preserve">Domain Freelance has Project A, Project B and Stream S, each showing a card</t>
  </si>
  <si>
    <t xml:space="preserve">The user sets aside a card from Project A with scope Its domain</t>
  </si>
  <si>
    <t xml:space="preserve">No cards from A, B or S show, and the Set-Aside page lists Freelance</t>
  </si>
  <si>
    <t xml:space="preserve">AT-040</t>
  </si>
  <si>
    <t xml:space="preserve">A set-aside current task stalls its project</t>
  </si>
  <si>
    <t xml:space="preserve">Task 1 (no subtasks) is current; Task 2 is next</t>
  </si>
  <si>
    <t xml:space="preserve">The user sets Task 1 aside</t>
  </si>
  <si>
    <t xml:space="preserve">Task 2 does not appear until Task 1 wakes and is done</t>
  </si>
  <si>
    <t xml:space="preserve">AT-041</t>
  </si>
  <si>
    <t xml:space="preserve">7, 8.4</t>
  </si>
  <si>
    <t xml:space="preserve">Set aside from the Explorer</t>
  </si>
  <si>
    <t xml:space="preserve">A stream with three items is in the Explorer</t>
  </si>
  <si>
    <t xml:space="preserve">The user sets the stream aside until Next week</t>
  </si>
  <si>
    <t xml:space="preserve">None of its items show on the Summary until it wakes</t>
  </si>
  <si>
    <t xml:space="preserve">AT-042</t>
  </si>
  <si>
    <t xml:space="preserve">Presets</t>
  </si>
  <si>
    <t xml:space="preserve">Default preset times</t>
  </si>
  <si>
    <t xml:space="preserve">It is 3:00 PM on Tuesday, Nov 3</t>
  </si>
  <si>
    <t xml:space="preserve">The user opens the set-aside presets</t>
  </si>
  <si>
    <t xml:space="preserve">Tonight = Nov 3 8 PM; Tomorrow morning = Nov 4 8 AM; 3 days later = Nov 6 8 AM; Next week = Mon Nov 9 8 AM</t>
  </si>
  <si>
    <t xml:space="preserve">AT-043</t>
  </si>
  <si>
    <t xml:space="preserve">Day starts at 4 AM</t>
  </si>
  <si>
    <t xml:space="preserve">Day starts at is 4:00 AM and it is 1:30 AM on Wednesday, Nov 4</t>
  </si>
  <si>
    <t xml:space="preserve">The user picks Tomorrow morning</t>
  </si>
  <si>
    <t xml:space="preserve">The wake time is Nov 4 at 8 AM, later that same morning</t>
  </si>
  <si>
    <t xml:space="preserve">AT-044</t>
  </si>
  <si>
    <t xml:space="preserve">Past presets are hidden</t>
  </si>
  <si>
    <t xml:space="preserve">It is 11:00 PM</t>
  </si>
  <si>
    <t xml:space="preserve">The user opens the presets</t>
  </si>
  <si>
    <t xml:space="preserve">Tonight is not offered</t>
  </si>
  <si>
    <t xml:space="preserve">AT-045</t>
  </si>
  <si>
    <t xml:space="preserve">Custom picker blocks past times</t>
  </si>
  <si>
    <t xml:space="preserve">The custom date and time picker is open</t>
  </si>
  <si>
    <t xml:space="preserve">The user tries to choose a time earlier than now</t>
  </si>
  <si>
    <t xml:space="preserve">The time can't be selected</t>
  </si>
  <si>
    <t xml:space="preserve">AT-046</t>
  </si>
  <si>
    <t xml:space="preserve">Set-Aside page</t>
  </si>
  <si>
    <t xml:space="preserve">8.3</t>
  </si>
  <si>
    <t xml:space="preserve">Set-Aside page lists items</t>
  </si>
  <si>
    <t xml:space="preserve">Three items are set aside until different times</t>
  </si>
  <si>
    <t xml:space="preserve">The user opens the Set-Aside page</t>
  </si>
  <si>
    <t xml:space="preserve">All three are listed soonest first, each with title, path, wake time and time remaining</t>
  </si>
  <si>
    <t xml:space="preserve">AT-047</t>
  </si>
  <si>
    <t xml:space="preserve">Hidden descendants sit under their ancestor</t>
  </si>
  <si>
    <t xml:space="preserve">Project P is set aside; none of its tasks are set aside themselves</t>
  </si>
  <si>
    <t xml:space="preserve">Project P is listed once; its tasks are not listed separately</t>
  </si>
  <si>
    <t xml:space="preserve">AT-048</t>
  </si>
  <si>
    <t xml:space="preserve">7, 8.3</t>
  </si>
  <si>
    <t xml:space="preserve">Wake now</t>
  </si>
  <si>
    <t xml:space="preserve">An item is set aside until next week</t>
  </si>
  <si>
    <t xml:space="preserve">The user taps Wake now</t>
  </si>
  <si>
    <t xml:space="preserve">It shows on the Summary straight away and leaves the Set-Aside page</t>
  </si>
  <si>
    <t xml:space="preserve">AT-049</t>
  </si>
  <si>
    <t xml:space="preserve">Change time</t>
  </si>
  <si>
    <t xml:space="preserve">The user changes its time to tomorrow 8 AM</t>
  </si>
  <si>
    <t xml:space="preserve">The Set-Aside page shows the new time and the item wakes then</t>
  </si>
  <si>
    <t xml:space="preserve">AT-050</t>
  </si>
  <si>
    <t xml:space="preserve">Notifications</t>
  </si>
  <si>
    <t xml:space="preserve">Grouped wake notification</t>
  </si>
  <si>
    <t xml:space="preserve">Three items are set aside until the same time and the app is closed</t>
  </si>
  <si>
    <t xml:space="preserve">That time arrives</t>
  </si>
  <si>
    <t xml:space="preserve">One notification says 3 items are back and expands to list the three titles; tapping it opens the Summary</t>
  </si>
  <si>
    <t xml:space="preserve">AT-051</t>
  </si>
  <si>
    <t xml:space="preserve">A single waking item is named</t>
  </si>
  <si>
    <t xml:space="preserve">Call Rahul is the only item set aside until tomorrow 9:00 AM, and the app is closed</t>
  </si>
  <si>
    <t xml:space="preserve">9:00 AM arrives</t>
  </si>
  <si>
    <t xml:space="preserve">One notification reads Call Rahul is back; tapping it opens that item on the Summary</t>
  </si>
  <si>
    <t xml:space="preserve">AT-052</t>
  </si>
  <si>
    <t xml:space="preserve">Different wake times notify separately</t>
  </si>
  <si>
    <t xml:space="preserve">One item is set aside until 8:00 AM and another until 9:00 AM</t>
  </si>
  <si>
    <t xml:space="preserve">Both times pass</t>
  </si>
  <si>
    <t xml:space="preserve">Two separate notifications arrive, one at each time</t>
  </si>
  <si>
    <t xml:space="preserve">AT-053</t>
  </si>
  <si>
    <t xml:space="preserve">Remind me off wakes quietly</t>
  </si>
  <si>
    <t xml:space="preserve">The user opens the set-aside picker on a card</t>
  </si>
  <si>
    <t xml:space="preserve">The user sees Remind me switched on, turns it off, and sets the item aside until 5:00 PM</t>
  </si>
  <si>
    <t xml:space="preserve">At 5:00 PM no notification is posted, but the item reappears on the Summary</t>
  </si>
  <si>
    <t xml:space="preserve">AT-054</t>
  </si>
  <si>
    <t xml:space="preserve">No notification when still hidden</t>
  </si>
  <si>
    <t xml:space="preserve">A subtask is set aside until 9:00 AM tomorrow and its domain is set aside until next week</t>
  </si>
  <si>
    <t xml:space="preserve">No notification is posted and the subtask does not appear on the Summary</t>
  </si>
  <si>
    <t xml:space="preserve">AT-055</t>
  </si>
  <si>
    <t xml:space="preserve">Permission asked at first set aside</t>
  </si>
  <si>
    <t xml:space="preserve">A fresh install on Android 13 or higher</t>
  </si>
  <si>
    <t xml:space="preserve">The user opens the app, then sets aside an item for the first time</t>
  </si>
  <si>
    <t xml:space="preserve">No permission prompt at first launch; the notification prompt appears at the first set aside</t>
  </si>
  <si>
    <t xml:space="preserve">AT-056</t>
  </si>
  <si>
    <t xml:space="preserve">7, 8.6</t>
  </si>
  <si>
    <t xml:space="preserve">Notifications can be turned off</t>
  </si>
  <si>
    <t xml:space="preserve">Notifications are off in Settings and an item is set aside</t>
  </si>
  <si>
    <t xml:space="preserve">Its wake time passes</t>
  </si>
  <si>
    <t xml:space="preserve">No notification is posted, but the item still reappears on the Summary</t>
  </si>
  <si>
    <t xml:space="preserve">AT-057</t>
  </si>
  <si>
    <t xml:space="preserve">Reminders survive a restart</t>
  </si>
  <si>
    <t xml:space="preserve">An item is set aside until tomorrow 8 AM</t>
  </si>
  <si>
    <t xml:space="preserve">The phone is restarted</t>
  </si>
  <si>
    <t xml:space="preserve">The reminder still arrives</t>
  </si>
  <si>
    <t xml:space="preserve">AT-058</t>
  </si>
  <si>
    <t xml:space="preserve">Exact reminders</t>
  </si>
  <si>
    <t xml:space="preserve">Exact reminders is on and Android's alarm permission is granted</t>
  </si>
  <si>
    <t xml:space="preserve">A set-aside time arrives</t>
  </si>
  <si>
    <t xml:space="preserve">The notification arrives within a minute of the wake time</t>
  </si>
  <si>
    <t xml:space="preserve">AT-059</t>
  </si>
  <si>
    <t xml:space="preserve">Set aside is logged</t>
  </si>
  <si>
    <t xml:space="preserve">The user sets it aside with scope Its project using the Tonight preset</t>
  </si>
  <si>
    <t xml:space="preserve">A set_aside event stores the wake time, the preset, the scope level and whether Remind me was on</t>
  </si>
  <si>
    <t xml:space="preserve">AT-060</t>
  </si>
  <si>
    <t xml:space="preserve">Waking is logged</t>
  </si>
  <si>
    <t xml:space="preserve">Two items are set aside until tomorrow</t>
  </si>
  <si>
    <t xml:space="preserve">One wakes at its time; the user taps Wake now on the other</t>
  </si>
  <si>
    <t xml:space="preserve">Each gets a woke event, one marked automatic and one marked Wake now</t>
  </si>
  <si>
    <t xml:space="preserve">AT-061</t>
  </si>
  <si>
    <t xml:space="preserve">Recurring</t>
  </si>
  <si>
    <t xml:space="preserve">Appears 3 days before due</t>
  </si>
  <si>
    <t xml:space="preserve">HDFC card repeats monthly on the 5th with the default 3-day lead; next due Nov 5</t>
  </si>
  <si>
    <t xml:space="preserve">The date moves from Nov 1 to Nov 2</t>
  </si>
  <si>
    <t xml:space="preserve">HDFC is absent on Nov 1 and appears at the start of Nov 2 labelled Due Nov 5</t>
  </si>
  <si>
    <t xml:space="preserve">AT-062</t>
  </si>
  <si>
    <t xml:space="preserve">Due today label</t>
  </si>
  <si>
    <t xml:space="preserve">HDFC is due Nov 5 and unpaid</t>
  </si>
  <si>
    <t xml:space="preserve">It is any time on Nov 5, before Nov 6 at 4:00 AM</t>
  </si>
  <si>
    <t xml:space="preserve">The card reads Due today</t>
  </si>
  <si>
    <t xml:space="preserve">AT-063</t>
  </si>
  <si>
    <t xml:space="preserve">Overdue label</t>
  </si>
  <si>
    <t xml:space="preserve">HDFC is due Nov 5 and unpaid; Day starts at is 4:00 AM</t>
  </si>
  <si>
    <t xml:space="preserve">Nov 6 at 4:00 AM passes, then Nov 9 arrives</t>
  </si>
  <si>
    <t xml:space="preserve">The card reads 1 day overdue on Nov 6 and 4 days overdue on Nov 9</t>
  </si>
  <si>
    <t xml:space="preserve">AT-064</t>
  </si>
  <si>
    <t xml:space="preserve">An unpaid bill doesn't hide the next</t>
  </si>
  <si>
    <t xml:space="preserve">Finance &amp; Bills holds HDFC (due 5th) and SBI (due 12th); HDFC is unpaid</t>
  </si>
  <si>
    <t xml:space="preserve">The date becomes Nov 9</t>
  </si>
  <si>
    <t xml:space="preserve">Both cards show: HDFC as 4 days overdue and SBI as Due Nov 12</t>
  </si>
  <si>
    <t xml:space="preserve">AT-065</t>
  </si>
  <si>
    <t xml:space="preserve">Recurring items never block normal items</t>
  </si>
  <si>
    <t xml:space="preserve">Stream Home holds Electricity bill (recurring, first), Fix the tap and Buy curtains (normal)</t>
  </si>
  <si>
    <t xml:space="preserve">The electricity bill is due</t>
  </si>
  <si>
    <t xml:space="preserve">Electricity bill and Fix the tap both show; Buy curtains stays hidden</t>
  </si>
  <si>
    <t xml:space="preserve">AT-066</t>
  </si>
  <si>
    <t xml:space="preserve">Completing schedules the next occurrence</t>
  </si>
  <si>
    <t xml:space="preserve">HDFC due Nov 5 is showing</t>
  </si>
  <si>
    <t xml:space="preserve">The user marks it done on Nov 3</t>
  </si>
  <si>
    <t xml:space="preserve">The card leaves; HDFC stays TODO with next due Dec 5 and reappears on Dec 2</t>
  </si>
  <si>
    <t xml:space="preserve">AT-067</t>
  </si>
  <si>
    <t xml:space="preserve">Paying late keeps the schedule</t>
  </si>
  <si>
    <t xml:space="preserve">HDFC repeats from the due date and is due Nov 5</t>
  </si>
  <si>
    <t xml:space="preserve">The user marks it done on Nov 7</t>
  </si>
  <si>
    <t xml:space="preserve">The next due date is Dec 5, not Dec 7</t>
  </si>
  <si>
    <t xml:space="preserve">AT-068</t>
  </si>
  <si>
    <t xml:space="preserve">A missed cycle shows straight away</t>
  </si>
  <si>
    <t xml:space="preserve">HDFC due Nov 5 was never paid</t>
  </si>
  <si>
    <t xml:space="preserve">The user marks it done on Dec 10</t>
  </si>
  <si>
    <t xml:space="preserve">HDFC immediately shows again, due Dec 5 and 5 days overdue</t>
  </si>
  <si>
    <t xml:space="preserve">AT-069</t>
  </si>
  <si>
    <t xml:space="preserve">Repeat from completion date</t>
  </si>
  <si>
    <t xml:space="preserve">Haircut repeats every 4 weeks from completion, with a 3-day lead</t>
  </si>
  <si>
    <t xml:space="preserve">The user marks it done on Nov 10</t>
  </si>
  <si>
    <t xml:space="preserve">Next due is Dec 8, and the card appears on Dec 5</t>
  </si>
  <si>
    <t xml:space="preserve">AT-070</t>
  </si>
  <si>
    <t xml:space="preserve">Undo a recurring completion</t>
  </si>
  <si>
    <t xml:space="preserve">The user marks it done and taps Undo within 5 seconds</t>
  </si>
  <si>
    <t xml:space="preserve">HDFC is back on the Summary, still due Nov 5</t>
  </si>
  <si>
    <t xml:space="preserve">AT-071</t>
  </si>
  <si>
    <t xml:space="preserve">7, 9</t>
  </si>
  <si>
    <t xml:space="preserve">Skip this occurrence</t>
  </si>
  <si>
    <t xml:space="preserve">The user taps Skip this occurrence</t>
  </si>
  <si>
    <t xml:space="preserve">Next due becomes Dec 5; a skipped event is logged and no completed event</t>
  </si>
  <si>
    <t xml:space="preserve">AT-072</t>
  </si>
  <si>
    <t xml:space="preserve">Setting aside keeps the schedule</t>
  </si>
  <si>
    <t xml:space="preserve">HDFC due Nov 5 is showing on Nov 2</t>
  </si>
  <si>
    <t xml:space="preserve">The user sets it aside until Nov 4 at 8 AM</t>
  </si>
  <si>
    <t xml:space="preserve">It returns Nov 4 at 8 AM still labelled Due Nov 5, and the following due date is still Dec 5</t>
  </si>
  <si>
    <t xml:space="preserve">AT-073</t>
  </si>
  <si>
    <t xml:space="preserve">Missing month days fall on the last day</t>
  </si>
  <si>
    <t xml:space="preserve">An item repeats monthly on the 31st</t>
  </si>
  <si>
    <t xml:space="preserve">The schedule reaches November and February</t>
  </si>
  <si>
    <t xml:space="preserve">It is due Nov 30 and Feb 28, 2027</t>
  </si>
  <si>
    <t xml:space="preserve">AT-074</t>
  </si>
  <si>
    <t xml:space="preserve">Weekly on chosen weekdays</t>
  </si>
  <si>
    <t xml:space="preserve">An item repeats weekly on Monday and Thursday</t>
  </si>
  <si>
    <t xml:space="preserve">The user completes Monday's occurrence</t>
  </si>
  <si>
    <t xml:space="preserve">The next due date is that Thursday</t>
  </si>
  <si>
    <t xml:space="preserve">AT-075</t>
  </si>
  <si>
    <t xml:space="preserve">Interval schedules</t>
  </si>
  <si>
    <t xml:space="preserve">An item repeats every 2 weeks from the due date, due Nov 5</t>
  </si>
  <si>
    <t xml:space="preserve">The user completes it</t>
  </si>
  <si>
    <t xml:space="preserve">The next due date is Nov 19</t>
  </si>
  <si>
    <t xml:space="preserve">AT-076</t>
  </si>
  <si>
    <t xml:space="preserve">Yearly schedules</t>
  </si>
  <si>
    <t xml:space="preserve">An item repeats yearly on Mar 15</t>
  </si>
  <si>
    <t xml:space="preserve">The user completes the 2027 occurrence</t>
  </si>
  <si>
    <t xml:space="preserve">The next due date is Mar 15, 2028</t>
  </si>
  <si>
    <t xml:space="preserve">AT-077</t>
  </si>
  <si>
    <t xml:space="preserve">5, 8.4</t>
  </si>
  <si>
    <t xml:space="preserve">Recurring items never stay DONE</t>
  </si>
  <si>
    <t xml:space="preserve">HDFC was just completed</t>
  </si>
  <si>
    <t xml:space="preserve">The user opens it in the Explorer</t>
  </si>
  <si>
    <t xml:space="preserve">It shows as TODO with its next due date, not as DONE</t>
  </si>
  <si>
    <t xml:space="preserve">AT-078</t>
  </si>
  <si>
    <t xml:space="preserve">Recurring reminders use the reminder time</t>
  </si>
  <si>
    <t xml:space="preserve">HDFC appears on Nov 2; reminder time is 9:00 AM</t>
  </si>
  <si>
    <t xml:space="preserve">Nov 2 and Nov 5 arrive with HDFC unpaid</t>
  </si>
  <si>
    <t xml:space="preserve">Notifications arrive at 9:00 AM on Nov 2 and on Nov 5, not at 4:00 AM</t>
  </si>
  <si>
    <t xml:space="preserve">AT-079</t>
  </si>
  <si>
    <t xml:space="preserve">Due reminder fires inside a paused domain</t>
  </si>
  <si>
    <t xml:space="preserve">Personal is set aside until Nov 10; HDFC (in Personal) is due Nov 5</t>
  </si>
  <si>
    <t xml:space="preserve">Nov 5 at 9:00 AM arrives</t>
  </si>
  <si>
    <t xml:space="preserve">HDFC is not on the Summary, but the due-date reminder fires; tapping it opens HDFC so it can be marked done</t>
  </si>
  <si>
    <t xml:space="preserve">AT-080</t>
  </si>
  <si>
    <t xml:space="preserve">Stop repeating</t>
  </si>
  <si>
    <t xml:space="preserve">HDFC is a recurring item in a stream with normal items</t>
  </si>
  <si>
    <t xml:space="preserve">The user turns off repeating</t>
  </si>
  <si>
    <t xml:space="preserve">Its due date is cleared and it follows the one-at-a-time rule like a normal stream item</t>
  </si>
  <si>
    <t xml:space="preserve">AT-081</t>
  </si>
  <si>
    <t xml:space="preserve">Due dates follow the phone's time zone</t>
  </si>
  <si>
    <t xml:space="preserve">HDFC is due on the 5th; the phone moves from India to Dubai time</t>
  </si>
  <si>
    <t xml:space="preserve">The user checks the card on the 5th local time</t>
  </si>
  <si>
    <t xml:space="preserve">It reads Due today on the local 5th</t>
  </si>
  <si>
    <t xml:space="preserve">AT-082</t>
  </si>
  <si>
    <t xml:space="preserve">Recurring completion stores the due date</t>
  </si>
  <si>
    <t xml:space="preserve">HDFC is due Nov 5</t>
  </si>
  <si>
    <t xml:space="preserve">The completed event stores the due date Nov 5</t>
  </si>
  <si>
    <t xml:space="preserve">AT-083</t>
  </si>
  <si>
    <t xml:space="preserve">Groups</t>
  </si>
  <si>
    <t xml:space="preserve">Ungrouped cards use the default list</t>
  </si>
  <si>
    <t xml:space="preserve">No context groups exist</t>
  </si>
  <si>
    <t xml:space="preserve">All cards appear in the default list</t>
  </si>
  <si>
    <t xml:space="preserve">AT-084</t>
  </si>
  <si>
    <t xml:space="preserve">Create a group</t>
  </si>
  <si>
    <t xml:space="preserve">No groups exist</t>
  </si>
  <si>
    <t xml:space="preserve">The user creates At laptop with an icon</t>
  </si>
  <si>
    <t xml:space="preserve">At laptop is available to assign and shows on the Summary once it holds a card</t>
  </si>
  <si>
    <t xml:space="preserve">AT-085</t>
  </si>
  <si>
    <t xml:space="preserve">Groups are inherited</t>
  </si>
  <si>
    <t xml:space="preserve">At laptop is set on Project P; its tasks and subtasks have no group</t>
  </si>
  <si>
    <t xml:space="preserve">A card from P shows</t>
  </si>
  <si>
    <t xml:space="preserve">The card appears under At laptop</t>
  </si>
  <si>
    <t xml:space="preserve">AT-086</t>
  </si>
  <si>
    <t xml:space="preserve">The nearest group wins</t>
  </si>
  <si>
    <t xml:space="preserve">At laptop is set on Project P and Errands on Subtask 1.2</t>
  </si>
  <si>
    <t xml:space="preserve">1.2 surfaces</t>
  </si>
  <si>
    <t xml:space="preserve">1.2 appears under Errands</t>
  </si>
  <si>
    <t xml:space="preserve">AT-087</t>
  </si>
  <si>
    <t xml:space="preserve">Dragging assigns that item only</t>
  </si>
  <si>
    <t xml:space="preserve">1.1 shows under At laptop, inherited from Project P</t>
  </si>
  <si>
    <t xml:space="preserve">The user drags 1.1 to Errands, then later marks it done</t>
  </si>
  <si>
    <t xml:space="preserve">1.1 sits in Errands; when 1.2 surfaces it appears under At laptop</t>
  </si>
  <si>
    <t xml:space="preserve">AT-088</t>
  </si>
  <si>
    <t xml:space="preserve">Order</t>
  </si>
  <si>
    <t xml:space="preserve">The next card keeps the same position</t>
  </si>
  <si>
    <t xml:space="preserve">At laptop shows X, then 1.1 from Project P, then Y</t>
  </si>
  <si>
    <t xml:space="preserve">The user marks 1.1 done and 1.2 (same group) appears</t>
  </si>
  <si>
    <t xml:space="preserve">At laptop shows X, 1.2, Y</t>
  </si>
  <si>
    <t xml:space="preserve">AT-089</t>
  </si>
  <si>
    <t xml:space="preserve">A card moving groups goes to the end</t>
  </si>
  <si>
    <t xml:space="preserve">1.2 has Errands set on it; 1.1 shows under At laptop</t>
  </si>
  <si>
    <t xml:space="preserve">1.2 appears at the end of Errands</t>
  </si>
  <si>
    <t xml:space="preserve">AT-090</t>
  </si>
  <si>
    <t xml:space="preserve">New slots go to the end</t>
  </si>
  <si>
    <t xml:space="preserve">At laptop already holds three cards</t>
  </si>
  <si>
    <t xml:space="preserve">The user creates a new project with At laptop set</t>
  </si>
  <si>
    <t xml:space="preserve">Its card appears at the end of At laptop</t>
  </si>
  <si>
    <t xml:space="preserve">AT-091</t>
  </si>
  <si>
    <t xml:space="preserve">Recurring items keep their position</t>
  </si>
  <si>
    <t xml:space="preserve">The user placed HDFC second in its group</t>
  </si>
  <si>
    <t xml:space="preserve">HDFC is completed and reappears next month</t>
  </si>
  <si>
    <t xml:space="preserve">It returns in the second position</t>
  </si>
  <si>
    <t xml:space="preserve">AT-092</t>
  </si>
  <si>
    <t xml:space="preserve">Dragging never changes the tree</t>
  </si>
  <si>
    <t xml:space="preserve">The user rearranges cards on the Summary</t>
  </si>
  <si>
    <t xml:space="preserve">The user opens the Explorer</t>
  </si>
  <si>
    <t xml:space="preserve">The tree order is unchanged</t>
  </si>
  <si>
    <t xml:space="preserve">AT-093</t>
  </si>
  <si>
    <t xml:space="preserve">Summary order persists</t>
  </si>
  <si>
    <t xml:space="preserve">The user arranged the Summary</t>
  </si>
  <si>
    <t xml:space="preserve">The app is closed and reopened</t>
  </si>
  <si>
    <t xml:space="preserve">The arrangement is the same</t>
  </si>
  <si>
    <t xml:space="preserve">AT-094</t>
  </si>
  <si>
    <t xml:space="preserve">Reorders and group changes are logged</t>
  </si>
  <si>
    <t xml:space="preserve">Cards are showing</t>
  </si>
  <si>
    <t xml:space="preserve">The user drags a card within a group, then to another group</t>
  </si>
  <si>
    <t xml:space="preserve">reordered events store old and new position and group; a group_changed event is stored</t>
  </si>
  <si>
    <t xml:space="preserve">AT-095</t>
  </si>
  <si>
    <t xml:space="preserve">8.5</t>
  </si>
  <si>
    <t xml:space="preserve">Quick capture works offline</t>
  </si>
  <si>
    <t xml:space="preserve">Airplane mode is on</t>
  </si>
  <si>
    <t xml:space="preserve">The user types a thought in Capture and saves it</t>
  </si>
  <si>
    <t xml:space="preserve">It appears at the top of the Capture list immediately, showing its date and time</t>
  </si>
  <si>
    <t xml:space="preserve">AT-096</t>
  </si>
  <si>
    <t xml:space="preserve">Newest captures come first</t>
  </si>
  <si>
    <t xml:space="preserve">The user captured three thoughts at 9:00 AM, 1:00 PM and 6:00 PM</t>
  </si>
  <si>
    <t xml:space="preserve">The user opens Capture</t>
  </si>
  <si>
    <t xml:space="preserve">The 6:00 PM entry is at the top and the 9:00 AM entry at the bottom, each showing its date and time</t>
  </si>
  <si>
    <t xml:space="preserve">AT-097</t>
  </si>
  <si>
    <t xml:space="preserve">Edit a capture</t>
  </si>
  <si>
    <t xml:space="preserve">A capture reads Call Rahul abut invoice</t>
  </si>
  <si>
    <t xml:space="preserve">The user edits it to Call Rahul about invoice</t>
  </si>
  <si>
    <t xml:space="preserve">The corrected text is saved and stays after restarting the app</t>
  </si>
  <si>
    <t xml:space="preserve">AT-098</t>
  </si>
  <si>
    <t xml:space="preserve">Delete a capture with Undo</t>
  </si>
  <si>
    <t xml:space="preserve">A capture exists</t>
  </si>
  <si>
    <t xml:space="preserve">The user deletes it, taps Undo, then deletes it again and lets the Undo window pass</t>
  </si>
  <si>
    <t xml:space="preserve">It returns after Undo, and after the second delete it is gone from the list</t>
  </si>
  <si>
    <t xml:space="preserve">AT-099</t>
  </si>
  <si>
    <t xml:space="preserve">Capture from the home-screen widget</t>
  </si>
  <si>
    <t xml:space="preserve">The widget is on the home screen</t>
  </si>
  <si>
    <t xml:space="preserve">The user taps quick add and types a thought</t>
  </si>
  <si>
    <t xml:space="preserve">It is saved to Capture without opening the full app</t>
  </si>
  <si>
    <t xml:space="preserve">AT-100</t>
  </si>
  <si>
    <t xml:space="preserve">Capture from the share sheet</t>
  </si>
  <si>
    <t xml:space="preserve">Text is selected in another app, such as Chrome or WhatsApp</t>
  </si>
  <si>
    <t xml:space="preserve">The user shares it to Sahai</t>
  </si>
  <si>
    <t xml:space="preserve">The text lands in Capture</t>
  </si>
  <si>
    <t xml:space="preserve">AT-101</t>
  </si>
  <si>
    <t xml:space="preserve">Create a stream item from a capture</t>
  </si>
  <si>
    <t xml:space="preserve">A capture reads electricity bill due soon</t>
  </si>
  <si>
    <t xml:space="preserve">The user taps Create, picks Stream item, Personal › Finance &amp; Bills, group Errands, types Pay electricity bill, saves and picks Remove</t>
  </si>
  <si>
    <t xml:space="preserve">The form showed the capture text above it with an empty name field; Pay electricity bill appears in Finance &amp; Bills with group Errands; the capture leaves the list</t>
  </si>
  <si>
    <t xml:space="preserve">AT-102</t>
  </si>
  <si>
    <t xml:space="preserve">Create a project, task or subtask</t>
  </si>
  <si>
    <t xml:space="preserve">Three captures exist</t>
  </si>
  <si>
    <t xml:space="preserve">The user creates a project from the first, a task in an existing project from the second and a subtask from the third, typing each name and picking Remove</t>
  </si>
  <si>
    <t xml:space="preserve">Each appears in the right place with the name the user typed, and all three captures leave the list</t>
  </si>
  <si>
    <t xml:space="preserve">AT-103</t>
  </si>
  <si>
    <t xml:space="preserve">Keep a capture to create more</t>
  </si>
  <si>
    <t xml:space="preserve">A capture reads call Rahul, buy milk</t>
  </si>
  <si>
    <t xml:space="preserve">The user creates Call Rahul from it and picks Keep, then creates Buy milk from it and picks Remove</t>
  </si>
  <si>
    <t xml:space="preserve">The capture stays after the first item and leaves the list after the second; both items exist</t>
  </si>
  <si>
    <t xml:space="preserve">AT-104</t>
  </si>
  <si>
    <t xml:space="preserve">Capture events are logged</t>
  </si>
  <si>
    <t xml:space="preserve">The user captures a thought and creates two items from it</t>
  </si>
  <si>
    <t xml:space="preserve">The developer inspects the log</t>
  </si>
  <si>
    <t xml:space="preserve">A captured event is stored, plus one converted event per item, each linking the capture to the new item</t>
  </si>
  <si>
    <t xml:space="preserve">AT-105</t>
  </si>
  <si>
    <t xml:space="preserve">Onboarding</t>
  </si>
  <si>
    <t xml:space="preserve">8.1</t>
  </si>
  <si>
    <t xml:space="preserve">Onboarding builds real data</t>
  </si>
  <si>
    <t xml:space="preserve">A fresh install</t>
  </si>
  <si>
    <t xml:space="preserve">The user completes steps 1 to 3</t>
  </si>
  <si>
    <t xml:space="preserve">They created one or two domains, a project, a task and two subtasks, with no sample data, and the Summary shows only the first subtask</t>
  </si>
  <si>
    <t xml:space="preserve">AT-106</t>
  </si>
  <si>
    <t xml:space="preserve">Practice step changes nothing</t>
  </si>
  <si>
    <t xml:space="preserve">Onboarding step 4 is finished</t>
  </si>
  <si>
    <t xml:space="preserve">The user checks the Summary and the Set-Aside page</t>
  </si>
  <si>
    <t xml:space="preserve">The first subtask is TODO and showing; nothing is DONE or set aside</t>
  </si>
  <si>
    <t xml:space="preserve">AT-107</t>
  </si>
  <si>
    <t xml:space="preserve">Skip onboarding</t>
  </si>
  <si>
    <t xml:space="preserve">Onboarding is on any step</t>
  </si>
  <si>
    <t xml:space="preserve">The user taps Skip</t>
  </si>
  <si>
    <t xml:space="preserve">The app opens on the Summary and keeps anything already created</t>
  </si>
  <si>
    <t xml:space="preserve">AT-108</t>
  </si>
  <si>
    <t xml:space="preserve">8.1, 8.6</t>
  </si>
  <si>
    <t xml:space="preserve">Replay onboarding</t>
  </si>
  <si>
    <t xml:space="preserve">Onboarding was completed earlier</t>
  </si>
  <si>
    <t xml:space="preserve">The user picks Replay onboarding in Settings</t>
  </si>
  <si>
    <t xml:space="preserve">Onboarding runs again</t>
  </si>
  <si>
    <t xml:space="preserve">AT-109</t>
  </si>
  <si>
    <t xml:space="preserve">Settings</t>
  </si>
  <si>
    <t xml:space="preserve">8.6</t>
  </si>
  <si>
    <t xml:space="preserve">Edited presets apply</t>
  </si>
  <si>
    <t xml:space="preserve">The user changes Tonight to 9 PM in Settings</t>
  </si>
  <si>
    <t xml:space="preserve">The user opens Set aside on a card</t>
  </si>
  <si>
    <t xml:space="preserve">Tonight offers 9 PM</t>
  </si>
  <si>
    <t xml:space="preserve">AT-110</t>
  </si>
  <si>
    <t xml:space="preserve">Changing Day starts at</t>
  </si>
  <si>
    <t xml:space="preserve">Day starts at is changed to 3:00 AM and it is 3:30 AM</t>
  </si>
  <si>
    <t xml:space="preserve">The wake time is 8 AM the next calendar day</t>
  </si>
  <si>
    <t xml:space="preserve">AT-111</t>
  </si>
  <si>
    <t xml:space="preserve">Backup</t>
  </si>
  <si>
    <t xml:space="preserve">3</t>
  </si>
  <si>
    <t xml:space="preserve">Auto Backup restores data</t>
  </si>
  <si>
    <t xml:space="preserve">The phone has real data and Google backup is on</t>
  </si>
  <si>
    <t xml:space="preserve">A backup runs (or is forced with Android's backup tool), then the app is reinstalled</t>
  </si>
  <si>
    <t xml:space="preserve">All data comes back</t>
  </si>
  <si>
    <t xml:space="preserve">AT-112</t>
  </si>
  <si>
    <t xml:space="preserve">3, 8.6</t>
  </si>
  <si>
    <t xml:space="preserve">Database size warning</t>
  </si>
  <si>
    <t xml:space="preserve">The database passes 20 MB</t>
  </si>
  <si>
    <t xml:space="preserve">The user opens Settings</t>
  </si>
  <si>
    <t xml:space="preserve">A warning shows that backup may stop</t>
  </si>
  <si>
    <t xml:space="preserve">AT-113</t>
  </si>
  <si>
    <t xml:space="preserve">Log retention</t>
  </si>
  <si>
    <t xml:space="preserve">The log holds events older than 12 months</t>
  </si>
  <si>
    <t xml:space="preserve">Compaction runs</t>
  </si>
  <si>
    <t xml:space="preserve">Those events become daily summaries and the log stays under 10 MB</t>
  </si>
  <si>
    <t xml:space="preserve">AT-114</t>
  </si>
  <si>
    <t xml:space="preserve">Performance</t>
  </si>
  <si>
    <t xml:space="preserve">Fast with 10,000 items</t>
  </si>
  <si>
    <t xml:space="preserve">The database holds 10,000 items on a mid-range phone</t>
  </si>
  <si>
    <t xml:space="preserve">The user opens the app and completes an item</t>
  </si>
  <si>
    <t xml:space="preserve">Cold start to Summary is under 2 seconds and the Summary recomputes in under 50 ms</t>
  </si>
  <si>
    <t xml:space="preserve">AT-115</t>
  </si>
  <si>
    <t xml:space="preserve">Offline</t>
  </si>
  <si>
    <t xml:space="preserve">Everything works offline</t>
  </si>
  <si>
    <t xml:space="preserve">The user uses every v1 feature</t>
  </si>
  <si>
    <t xml:space="preserve">Everything works</t>
  </si>
  <si>
    <t xml:space="preserve">AT-116</t>
  </si>
  <si>
    <t xml:space="preserve">Accessibility</t>
  </si>
  <si>
    <t xml:space="preserve">TalkBack support</t>
  </si>
  <si>
    <t xml:space="preserve">TalkBack is on</t>
  </si>
  <si>
    <t xml:space="preserve">The user completes, sets aside and reorders cards</t>
  </si>
  <si>
    <t xml:space="preserve">Every action is announced, and swipe and drag actions have button alternatives</t>
  </si>
  <si>
    <t xml:space="preserve">AT-117</t>
  </si>
  <si>
    <t xml:space="preserve">Large system font</t>
  </si>
  <si>
    <t xml:space="preserve">The system font is set to the largest size</t>
  </si>
  <si>
    <t xml:space="preserve">The user visits every screen</t>
  </si>
  <si>
    <t xml:space="preserve">Nothing is cut off or overlapping</t>
  </si>
  <si>
    <t xml:space="preserve">AT-118</t>
  </si>
  <si>
    <t xml:space="preserve">Time</t>
  </si>
  <si>
    <t xml:space="preserve">Set-aside times survive a time-zone change</t>
  </si>
  <si>
    <t xml:space="preserve">An item is set aside until 8 AM India time</t>
  </si>
  <si>
    <t xml:space="preserve">The phone switches to Dubai time</t>
  </si>
  <si>
    <t xml:space="preserve">It wakes at the same moment, shown in local time</t>
  </si>
  <si>
    <t xml:space="preserve">AT-119</t>
  </si>
  <si>
    <t xml:space="preserve">No half-finished changes</t>
  </si>
  <si>
    <t xml:space="preserve">The app is mid-way through completing an item</t>
  </si>
  <si>
    <t xml:space="preserve">The app is force-closed at that moment</t>
  </si>
  <si>
    <t xml:space="preserve">Either the completion and its log event are both saved or neither is</t>
  </si>
  <si>
    <t xml:space="preserve">AT-120</t>
  </si>
  <si>
    <t xml:space="preserve">Send feedback</t>
  </si>
  <si>
    <t xml:space="preserve">The user is in Settings</t>
  </si>
  <si>
    <t xml:space="preserve">The user taps Send feedback</t>
  </si>
  <si>
    <t xml:space="preserve">An email draft opens for the user to write and send</t>
  </si>
  <si>
    <t xml:space="preserve">AT-121</t>
  </si>
  <si>
    <t xml:space="preserve">Release</t>
  </si>
  <si>
    <t xml:space="preserve">2, 16</t>
  </si>
  <si>
    <t xml:space="preserve">Testers can install</t>
  </si>
  <si>
    <t xml:space="preserve">A build is on a Google Play testing track and a tester is invited</t>
  </si>
  <si>
    <t xml:space="preserve">The tester opens the invite link</t>
  </si>
  <si>
    <t xml:space="preserve">They can install the app from Google Play</t>
  </si>
  <si>
    <t xml:space="preserve">AT-122</t>
  </si>
  <si>
    <t xml:space="preserve">16</t>
  </si>
  <si>
    <t xml:space="preserve">Privacy policy is linked</t>
  </si>
  <si>
    <t xml:space="preserve">The store listing and app are ready</t>
  </si>
  <si>
    <t xml:space="preserve">The user checks Play Console and the app's About screen</t>
  </si>
  <si>
    <t xml:space="preserve">A privacy policy is linked in both</t>
  </si>
  <si>
    <t xml:space="preserve">AT-123</t>
  </si>
  <si>
    <t xml:space="preserve">Data safety matches the app</t>
  </si>
  <si>
    <t xml:space="preserve">The Data safety form is filled in</t>
  </si>
  <si>
    <t xml:space="preserve">The user reviews it against the PRD</t>
  </si>
  <si>
    <t xml:space="preserve">It states no data is collected or shared</t>
  </si>
  <si>
    <t xml:space="preserve">AT-124</t>
  </si>
  <si>
    <t xml:space="preserve">Icon and name</t>
  </si>
  <si>
    <t xml:space="preserve">The release build is installed</t>
  </si>
  <si>
    <t xml:space="preserve">The user checks the launcher and the store listing</t>
  </si>
  <si>
    <t xml:space="preserve">The final icon and the name Sahai appear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</si>
</sst>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7A5C00"/>
        <bgColor rgb="FF9C5700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5C00"/>
          <bgColor rgb="FF000000"/>
        </patternFill>
      </fill>
    </dxf>
    <dxf>
      <fill>
        <patternFill patternType="solid">
          <fgColor rgb="FFFFF8DC"/>
          <bgColor rgb="FF000000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A5C00"/>
      <rgbColor rgb="FF800080"/>
      <rgbColor rgb="FF008080"/>
      <rgbColor rgb="FFC0C0C0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48.5" hidden="false" customHeight="false" outlineLevel="0" collapsed="false">
      <c r="A1" s="1" t="s">
        <v>0</v>
      </c>
      <c r="B1" s="2"/>
    </row>
    <row r="2" customFormat="false" ht="26.85" hidden="false" customHeight="false" outlineLevel="0" collapsed="false">
      <c r="A2" s="3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3"/>
      <c r="B4" s="2"/>
    </row>
    <row r="5" customFormat="false" ht="15" hidden="false" customHeight="false" outlineLevel="0" collapsed="false">
      <c r="A5" s="3" t="s">
        <v>5</v>
      </c>
      <c r="B5" s="2" t="s">
        <v>6</v>
      </c>
    </row>
    <row r="6" customFormat="false" ht="15" hidden="false" customHeight="false" outlineLevel="0" collapsed="false">
      <c r="A6" s="3" t="s">
        <v>7</v>
      </c>
      <c r="B6" s="2" t="s">
        <v>8</v>
      </c>
    </row>
    <row r="7" customFormat="false" ht="1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3" t="s">
        <v>13</v>
      </c>
      <c r="B9" s="2" t="s">
        <v>14</v>
      </c>
    </row>
    <row r="10" customFormat="false" ht="15" hidden="false" customHeight="false" outlineLevel="0" collapsed="false">
      <c r="A10" s="3"/>
      <c r="B10" s="2"/>
    </row>
    <row r="11" customFormat="false" ht="39.55" hidden="false" customHeight="false" outlineLevel="0" collapsed="false">
      <c r="A11" s="3" t="s">
        <v>15</v>
      </c>
      <c r="B11" s="2" t="s">
        <v>16</v>
      </c>
    </row>
    <row r="12" customFormat="false" ht="26.85" hidden="false" customHeight="false" outlineLevel="0" collapsed="false">
      <c r="A12" s="3" t="s">
        <v>17</v>
      </c>
      <c r="B12" s="2" t="s">
        <v>18</v>
      </c>
    </row>
    <row r="13" customFormat="false" ht="26.85" hidden="false" customHeight="false" outlineLevel="0" collapsed="false">
      <c r="A13" s="3" t="s">
        <v>19</v>
      </c>
      <c r="B13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6" min="3" style="0" width="8"/>
    <col collapsed="false" customWidth="true" hidden="false" outlineLevel="0" max="8" min="7" style="0" width="9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5"/>
  </cols>
  <sheetData>
    <row r="1" customFormat="false" ht="26.8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</row>
    <row r="2" customFormat="false" ht="15" hidden="false" customHeight="false" outlineLevel="0" collapsed="false">
      <c r="A2" s="5" t="s">
        <v>32</v>
      </c>
      <c r="B2" s="5" t="s">
        <v>33</v>
      </c>
      <c r="C2" s="5" t="n">
        <f aca="false">COUNTIFS(Tests!$B$2:$B$125,A2)</f>
        <v>12</v>
      </c>
      <c r="D2" s="5" t="n">
        <f aca="false">COUNTIFS(Tests!$B$2:$B$125,A2,Tests!$I$2:$I$125,"Must")</f>
        <v>11</v>
      </c>
      <c r="E2" s="5" t="n">
        <f aca="false">COUNTIFS(Tests!$B$2:$B$125,A2,Tests!$K$2:$K$125,"Pass")</f>
        <v>0</v>
      </c>
      <c r="F2" s="5" t="n">
        <f aca="false">COUNTIFS(Tests!$B$2:$B$125,A2,Tests!$K$2:$K$125,"Fail")</f>
        <v>0</v>
      </c>
      <c r="G2" s="5" t="n">
        <f aca="false">COUNTIFS(Tests!$B$2:$B$125,A2,Tests!$K$2:$K$125,"Blocked")</f>
        <v>0</v>
      </c>
      <c r="H2" s="5" t="n">
        <f aca="false">COUNTIFS(Tests!$B$2:$B$125,A2,Tests!$K$2:$K$125,"Not run")</f>
        <v>12</v>
      </c>
      <c r="I2" s="6" t="n">
        <f aca="false">IFERROR(E2/C2,0)</f>
        <v>0</v>
      </c>
      <c r="J2" s="5" t="n">
        <f aca="false">COUNTIFS(Tests!$B$2:$B$125,A2,Tests!$I$2:$I$125,"Must",Tests!$K$2:$K$125,"Pass")</f>
        <v>0</v>
      </c>
      <c r="K2" s="5" t="str">
        <f aca="false">IF(AND(D2&gt;0,J2=D2),"Yes","Not yet")</f>
        <v>Not yet</v>
      </c>
    </row>
    <row r="3" customFormat="false" ht="15" hidden="false" customHeight="false" outlineLevel="0" collapsed="false">
      <c r="A3" s="5" t="s">
        <v>34</v>
      </c>
      <c r="B3" s="5" t="s">
        <v>35</v>
      </c>
      <c r="C3" s="5" t="n">
        <f aca="false">COUNTIFS(Tests!$B$2:$B$125,A3)</f>
        <v>20</v>
      </c>
      <c r="D3" s="5" t="n">
        <f aca="false">COUNTIFS(Tests!$B$2:$B$125,A3,Tests!$I$2:$I$125,"Must")</f>
        <v>17</v>
      </c>
      <c r="E3" s="5" t="n">
        <f aca="false">COUNTIFS(Tests!$B$2:$B$125,A3,Tests!$K$2:$K$125,"Pass")</f>
        <v>0</v>
      </c>
      <c r="F3" s="5" t="n">
        <f aca="false">COUNTIFS(Tests!$B$2:$B$125,A3,Tests!$K$2:$K$125,"Fail")</f>
        <v>0</v>
      </c>
      <c r="G3" s="5" t="n">
        <f aca="false">COUNTIFS(Tests!$B$2:$B$125,A3,Tests!$K$2:$K$125,"Blocked")</f>
        <v>0</v>
      </c>
      <c r="H3" s="5" t="n">
        <f aca="false">COUNTIFS(Tests!$B$2:$B$125,A3,Tests!$K$2:$K$125,"Not run")</f>
        <v>20</v>
      </c>
      <c r="I3" s="6" t="n">
        <f aca="false">IFERROR(E3/C3,0)</f>
        <v>0</v>
      </c>
      <c r="J3" s="5" t="n">
        <f aca="false">COUNTIFS(Tests!$B$2:$B$125,A3,Tests!$I$2:$I$125,"Must",Tests!$K$2:$K$125,"Pass")</f>
        <v>0</v>
      </c>
      <c r="K3" s="5" t="str">
        <f aca="false">IF(AND(D3&gt;0,J3=D3),"Yes","Not yet")</f>
        <v>Not yet</v>
      </c>
    </row>
    <row r="4" customFormat="false" ht="15" hidden="false" customHeight="false" outlineLevel="0" collapsed="false">
      <c r="A4" s="5" t="s">
        <v>36</v>
      </c>
      <c r="B4" s="5" t="s">
        <v>37</v>
      </c>
      <c r="C4" s="5" t="n">
        <f aca="false">COUNTIFS(Tests!$B$2:$B$125,A4)</f>
        <v>28</v>
      </c>
      <c r="D4" s="5" t="n">
        <f aca="false">COUNTIFS(Tests!$B$2:$B$125,A4,Tests!$I$2:$I$125,"Must")</f>
        <v>22</v>
      </c>
      <c r="E4" s="5" t="n">
        <f aca="false">COUNTIFS(Tests!$B$2:$B$125,A4,Tests!$K$2:$K$125,"Pass")</f>
        <v>0</v>
      </c>
      <c r="F4" s="5" t="n">
        <f aca="false">COUNTIFS(Tests!$B$2:$B$125,A4,Tests!$K$2:$K$125,"Fail")</f>
        <v>0</v>
      </c>
      <c r="G4" s="5" t="n">
        <f aca="false">COUNTIFS(Tests!$B$2:$B$125,A4,Tests!$K$2:$K$125,"Blocked")</f>
        <v>0</v>
      </c>
      <c r="H4" s="5" t="n">
        <f aca="false">COUNTIFS(Tests!$B$2:$B$125,A4,Tests!$K$2:$K$125,"Not run")</f>
        <v>28</v>
      </c>
      <c r="I4" s="6" t="n">
        <f aca="false">IFERROR(E4/C4,0)</f>
        <v>0</v>
      </c>
      <c r="J4" s="5" t="n">
        <f aca="false">COUNTIFS(Tests!$B$2:$B$125,A4,Tests!$I$2:$I$125,"Must",Tests!$K$2:$K$125,"Pass")</f>
        <v>0</v>
      </c>
      <c r="K4" s="5" t="str">
        <f aca="false">IF(AND(D4&gt;0,J4=D4),"Yes","Not yet")</f>
        <v>Not yet</v>
      </c>
    </row>
    <row r="5" customFormat="false" ht="15" hidden="false" customHeight="false" outlineLevel="0" collapsed="false">
      <c r="A5" s="5" t="s">
        <v>38</v>
      </c>
      <c r="B5" s="5" t="s">
        <v>39</v>
      </c>
      <c r="C5" s="5" t="n">
        <f aca="false">COUNTIFS(Tests!$B$2:$B$125,A5)</f>
        <v>22</v>
      </c>
      <c r="D5" s="5" t="n">
        <f aca="false">COUNTIFS(Tests!$B$2:$B$125,A5,Tests!$I$2:$I$125,"Must")</f>
        <v>17</v>
      </c>
      <c r="E5" s="5" t="n">
        <f aca="false">COUNTIFS(Tests!$B$2:$B$125,A5,Tests!$K$2:$K$125,"Pass")</f>
        <v>0</v>
      </c>
      <c r="F5" s="5" t="n">
        <f aca="false">COUNTIFS(Tests!$B$2:$B$125,A5,Tests!$K$2:$K$125,"Fail")</f>
        <v>0</v>
      </c>
      <c r="G5" s="5" t="n">
        <f aca="false">COUNTIFS(Tests!$B$2:$B$125,A5,Tests!$K$2:$K$125,"Blocked")</f>
        <v>0</v>
      </c>
      <c r="H5" s="5" t="n">
        <f aca="false">COUNTIFS(Tests!$B$2:$B$125,A5,Tests!$K$2:$K$125,"Not run")</f>
        <v>22</v>
      </c>
      <c r="I5" s="6" t="n">
        <f aca="false">IFERROR(E5/C5,0)</f>
        <v>0</v>
      </c>
      <c r="J5" s="5" t="n">
        <f aca="false">COUNTIFS(Tests!$B$2:$B$125,A5,Tests!$I$2:$I$125,"Must",Tests!$K$2:$K$125,"Pass")</f>
        <v>0</v>
      </c>
      <c r="K5" s="5" t="str">
        <f aca="false">IF(AND(D5&gt;0,J5=D5),"Yes","Not yet")</f>
        <v>Not yet</v>
      </c>
    </row>
    <row r="6" customFormat="false" ht="15" hidden="false" customHeight="false" outlineLevel="0" collapsed="false">
      <c r="A6" s="5" t="s">
        <v>40</v>
      </c>
      <c r="B6" s="5" t="s">
        <v>41</v>
      </c>
      <c r="C6" s="5" t="n">
        <f aca="false">COUNTIFS(Tests!$B$2:$B$125,A6)</f>
        <v>12</v>
      </c>
      <c r="D6" s="5" t="n">
        <f aca="false">COUNTIFS(Tests!$B$2:$B$125,A6,Tests!$I$2:$I$125,"Must")</f>
        <v>9</v>
      </c>
      <c r="E6" s="5" t="n">
        <f aca="false">COUNTIFS(Tests!$B$2:$B$125,A6,Tests!$K$2:$K$125,"Pass")</f>
        <v>0</v>
      </c>
      <c r="F6" s="5" t="n">
        <f aca="false">COUNTIFS(Tests!$B$2:$B$125,A6,Tests!$K$2:$K$125,"Fail")</f>
        <v>0</v>
      </c>
      <c r="G6" s="5" t="n">
        <f aca="false">COUNTIFS(Tests!$B$2:$B$125,A6,Tests!$K$2:$K$125,"Blocked")</f>
        <v>0</v>
      </c>
      <c r="H6" s="5" t="n">
        <f aca="false">COUNTIFS(Tests!$B$2:$B$125,A6,Tests!$K$2:$K$125,"Not run")</f>
        <v>12</v>
      </c>
      <c r="I6" s="6" t="n">
        <f aca="false">IFERROR(E6/C6,0)</f>
        <v>0</v>
      </c>
      <c r="J6" s="5" t="n">
        <f aca="false">COUNTIFS(Tests!$B$2:$B$125,A6,Tests!$I$2:$I$125,"Must",Tests!$K$2:$K$125,"Pass")</f>
        <v>0</v>
      </c>
      <c r="K6" s="5" t="str">
        <f aca="false">IF(AND(D6&gt;0,J6=D6),"Yes","Not yet")</f>
        <v>Not yet</v>
      </c>
    </row>
    <row r="7" customFormat="false" ht="15" hidden="false" customHeight="false" outlineLevel="0" collapsed="false">
      <c r="A7" s="5" t="s">
        <v>42</v>
      </c>
      <c r="B7" s="5" t="s">
        <v>43</v>
      </c>
      <c r="C7" s="5" t="n">
        <f aca="false">COUNTIFS(Tests!$B$2:$B$125,A7)</f>
        <v>10</v>
      </c>
      <c r="D7" s="5" t="n">
        <f aca="false">COUNTIFS(Tests!$B$2:$B$125,A7,Tests!$I$2:$I$125,"Must")</f>
        <v>9</v>
      </c>
      <c r="E7" s="5" t="n">
        <f aca="false">COUNTIFS(Tests!$B$2:$B$125,A7,Tests!$K$2:$K$125,"Pass")</f>
        <v>0</v>
      </c>
      <c r="F7" s="5" t="n">
        <f aca="false">COUNTIFS(Tests!$B$2:$B$125,A7,Tests!$K$2:$K$125,"Fail")</f>
        <v>0</v>
      </c>
      <c r="G7" s="5" t="n">
        <f aca="false">COUNTIFS(Tests!$B$2:$B$125,A7,Tests!$K$2:$K$125,"Blocked")</f>
        <v>0</v>
      </c>
      <c r="H7" s="5" t="n">
        <f aca="false">COUNTIFS(Tests!$B$2:$B$125,A7,Tests!$K$2:$K$125,"Not run")</f>
        <v>10</v>
      </c>
      <c r="I7" s="6" t="n">
        <f aca="false">IFERROR(E7/C7,0)</f>
        <v>0</v>
      </c>
      <c r="J7" s="5" t="n">
        <f aca="false">COUNTIFS(Tests!$B$2:$B$125,A7,Tests!$I$2:$I$125,"Must",Tests!$K$2:$K$125,"Pass")</f>
        <v>0</v>
      </c>
      <c r="K7" s="5" t="str">
        <f aca="false">IF(AND(D7&gt;0,J7=D7),"Yes","Not yet")</f>
        <v>Not yet</v>
      </c>
    </row>
    <row r="8" customFormat="false" ht="15" hidden="false" customHeight="false" outlineLevel="0" collapsed="false">
      <c r="A8" s="5" t="s">
        <v>44</v>
      </c>
      <c r="B8" s="5" t="s">
        <v>45</v>
      </c>
      <c r="C8" s="5" t="n">
        <f aca="false">COUNTIFS(Tests!$B$2:$B$125,A8)</f>
        <v>16</v>
      </c>
      <c r="D8" s="5" t="n">
        <f aca="false">COUNTIFS(Tests!$B$2:$B$125,A8,Tests!$I$2:$I$125,"Must")</f>
        <v>7</v>
      </c>
      <c r="E8" s="5" t="n">
        <f aca="false">COUNTIFS(Tests!$B$2:$B$125,A8,Tests!$K$2:$K$125,"Pass")</f>
        <v>0</v>
      </c>
      <c r="F8" s="5" t="n">
        <f aca="false">COUNTIFS(Tests!$B$2:$B$125,A8,Tests!$K$2:$K$125,"Fail")</f>
        <v>0</v>
      </c>
      <c r="G8" s="5" t="n">
        <f aca="false">COUNTIFS(Tests!$B$2:$B$125,A8,Tests!$K$2:$K$125,"Blocked")</f>
        <v>0</v>
      </c>
      <c r="H8" s="5" t="n">
        <f aca="false">COUNTIFS(Tests!$B$2:$B$125,A8,Tests!$K$2:$K$125,"Not run")</f>
        <v>16</v>
      </c>
      <c r="I8" s="6" t="n">
        <f aca="false">IFERROR(E8/C8,0)</f>
        <v>0</v>
      </c>
      <c r="J8" s="5" t="n">
        <f aca="false">COUNTIFS(Tests!$B$2:$B$125,A8,Tests!$I$2:$I$125,"Must",Tests!$K$2:$K$125,"Pass")</f>
        <v>0</v>
      </c>
      <c r="K8" s="5" t="str">
        <f aca="false">IF(AND(D8&gt;0,J8=D8),"Yes","Not yet")</f>
        <v>Not yet</v>
      </c>
    </row>
    <row r="9" customFormat="false" ht="15" hidden="false" customHeight="false" outlineLevel="0" collapsed="false">
      <c r="A9" s="5" t="s">
        <v>46</v>
      </c>
      <c r="B9" s="5" t="s">
        <v>47</v>
      </c>
      <c r="C9" s="5" t="n">
        <f aca="false">COUNTIFS(Tests!$B$2:$B$125,A9)</f>
        <v>4</v>
      </c>
      <c r="D9" s="5" t="n">
        <f aca="false">COUNTIFS(Tests!$B$2:$B$125,A9,Tests!$I$2:$I$125,"Must")</f>
        <v>3</v>
      </c>
      <c r="E9" s="5" t="n">
        <f aca="false">COUNTIFS(Tests!$B$2:$B$125,A9,Tests!$K$2:$K$125,"Pass")</f>
        <v>0</v>
      </c>
      <c r="F9" s="5" t="n">
        <f aca="false">COUNTIFS(Tests!$B$2:$B$125,A9,Tests!$K$2:$K$125,"Fail")</f>
        <v>0</v>
      </c>
      <c r="G9" s="5" t="n">
        <f aca="false">COUNTIFS(Tests!$B$2:$B$125,A9,Tests!$K$2:$K$125,"Blocked")</f>
        <v>0</v>
      </c>
      <c r="H9" s="5" t="n">
        <f aca="false">COUNTIFS(Tests!$B$2:$B$125,A9,Tests!$K$2:$K$125,"Not run")</f>
        <v>4</v>
      </c>
      <c r="I9" s="6" t="n">
        <f aca="false">IFERROR(E9/C9,0)</f>
        <v>0</v>
      </c>
      <c r="J9" s="5" t="n">
        <f aca="false">COUNTIFS(Tests!$B$2:$B$125,A9,Tests!$I$2:$I$125,"Must",Tests!$K$2:$K$125,"Pass")</f>
        <v>0</v>
      </c>
      <c r="K9" s="5" t="str">
        <f aca="false">IF(AND(D9&gt;0,J9=D9),"Yes","Not yet")</f>
        <v>Not yet</v>
      </c>
    </row>
    <row r="10" customFormat="false" ht="15" hidden="false" customHeight="false" outlineLevel="0" collapsed="false">
      <c r="A10" s="7" t="s">
        <v>48</v>
      </c>
      <c r="B10" s="7" t="s">
        <v>49</v>
      </c>
      <c r="C10" s="7" t="n">
        <f aca="false">SUM(C2:C9)</f>
        <v>124</v>
      </c>
      <c r="D10" s="7" t="n">
        <f aca="false">SUM(D2:D9)</f>
        <v>95</v>
      </c>
      <c r="E10" s="7" t="n">
        <f aca="false">SUM(E2:E9)</f>
        <v>0</v>
      </c>
      <c r="F10" s="7" t="n">
        <f aca="false">SUM(F2:F9)</f>
        <v>0</v>
      </c>
      <c r="G10" s="7" t="n">
        <f aca="false">SUM(G2:G9)</f>
        <v>0</v>
      </c>
      <c r="H10" s="7" t="n">
        <f aca="false">SUM(H2:H9)</f>
        <v>124</v>
      </c>
      <c r="I10" s="8" t="n">
        <f aca="false">IFERROR(E10/C10,0)</f>
        <v>0</v>
      </c>
      <c r="J10" s="7" t="n">
        <f aca="false">SUM(J2:J9)</f>
        <v>0</v>
      </c>
      <c r="K10" s="7" t="str">
        <f aca="false">IF(AND(D10&gt;0,J10=D10),"Yes","Not yet")</f>
        <v>Not yet</v>
      </c>
    </row>
    <row r="12" customFormat="false" ht="15" hidden="false" customHeight="false" outlineLevel="0" collapsed="false">
      <c r="A12" s="9" t="s">
        <v>50</v>
      </c>
    </row>
  </sheetData>
  <conditionalFormatting sqref="K2:K10">
    <cfRule type="cellIs" priority="2" operator="equal" aboveAverage="0" equalAverage="0" bottom="0" percent="0" rank="0" text="" dxfId="0">
      <formula>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9"/>
    <col collapsed="false" customWidth="true" hidden="false" outlineLevel="0" max="5" min="5" style="0" width="30"/>
    <col collapsed="false" customWidth="true" hidden="false" outlineLevel="0" max="7" min="6" style="0" width="38"/>
    <col collapsed="false" customWidth="true" hidden="false" outlineLevel="0" max="8" min="8" style="0" width="46"/>
    <col collapsed="false" customWidth="true" hidden="false" outlineLevel="0" max="9" min="9" style="0" width="9"/>
    <col collapsed="false" customWidth="true" hidden="false" outlineLevel="0" max="11" min="10" style="0" width="11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21.75" hidden="false" customHeight="true" outlineLevel="0" collapsed="false">
      <c r="A1" s="4" t="s">
        <v>51</v>
      </c>
      <c r="B1" s="4" t="s">
        <v>21</v>
      </c>
      <c r="C1" s="4" t="s">
        <v>52</v>
      </c>
      <c r="D1" s="4" t="s">
        <v>53</v>
      </c>
      <c r="E1" s="4" t="s">
        <v>54</v>
      </c>
      <c r="F1" s="4" t="s">
        <v>55</v>
      </c>
      <c r="G1" s="4" t="s">
        <v>56</v>
      </c>
      <c r="H1" s="4" t="s">
        <v>57</v>
      </c>
      <c r="I1" s="4" t="s">
        <v>9</v>
      </c>
      <c r="J1" s="4" t="s">
        <v>11</v>
      </c>
      <c r="K1" s="10" t="s">
        <v>58</v>
      </c>
      <c r="L1" s="10" t="s">
        <v>59</v>
      </c>
      <c r="M1" s="10" t="s">
        <v>60</v>
      </c>
    </row>
    <row r="2" customFormat="false" ht="35.05" hidden="false" customHeight="false" outlineLevel="0" collapsed="false">
      <c r="A2" s="11" t="s">
        <v>61</v>
      </c>
      <c r="B2" s="11" t="s">
        <v>32</v>
      </c>
      <c r="C2" s="11" t="s">
        <v>62</v>
      </c>
      <c r="D2" s="11" t="s">
        <v>63</v>
      </c>
      <c r="E2" s="12" t="s">
        <v>64</v>
      </c>
      <c r="F2" s="11" t="s">
        <v>65</v>
      </c>
      <c r="G2" s="11" t="s">
        <v>66</v>
      </c>
      <c r="H2" s="11" t="s">
        <v>67</v>
      </c>
      <c r="I2" s="11" t="s">
        <v>24</v>
      </c>
      <c r="J2" s="11" t="s">
        <v>68</v>
      </c>
      <c r="K2" s="13" t="s">
        <v>28</v>
      </c>
      <c r="L2" s="14"/>
      <c r="M2" s="13"/>
    </row>
    <row r="3" customFormat="false" ht="35.05" hidden="false" customHeight="false" outlineLevel="0" collapsed="false">
      <c r="A3" s="11" t="s">
        <v>69</v>
      </c>
      <c r="B3" s="11" t="s">
        <v>32</v>
      </c>
      <c r="C3" s="11" t="s">
        <v>62</v>
      </c>
      <c r="D3" s="11" t="s">
        <v>70</v>
      </c>
      <c r="E3" s="12" t="s">
        <v>71</v>
      </c>
      <c r="F3" s="11" t="s">
        <v>72</v>
      </c>
      <c r="G3" s="11" t="s">
        <v>73</v>
      </c>
      <c r="H3" s="11" t="s">
        <v>74</v>
      </c>
      <c r="I3" s="11" t="s">
        <v>24</v>
      </c>
      <c r="J3" s="11" t="s">
        <v>68</v>
      </c>
      <c r="K3" s="13" t="s">
        <v>28</v>
      </c>
      <c r="L3" s="14"/>
      <c r="M3" s="13"/>
    </row>
    <row r="4" customFormat="false" ht="23.85" hidden="false" customHeight="false" outlineLevel="0" collapsed="false">
      <c r="A4" s="11" t="s">
        <v>75</v>
      </c>
      <c r="B4" s="11" t="s">
        <v>32</v>
      </c>
      <c r="C4" s="11" t="s">
        <v>62</v>
      </c>
      <c r="D4" s="11" t="s">
        <v>76</v>
      </c>
      <c r="E4" s="12" t="s">
        <v>77</v>
      </c>
      <c r="F4" s="11" t="s">
        <v>78</v>
      </c>
      <c r="G4" s="11" t="s">
        <v>79</v>
      </c>
      <c r="H4" s="11" t="s">
        <v>80</v>
      </c>
      <c r="I4" s="11" t="s">
        <v>24</v>
      </c>
      <c r="J4" s="11" t="s">
        <v>68</v>
      </c>
      <c r="K4" s="13" t="s">
        <v>28</v>
      </c>
      <c r="L4" s="14"/>
      <c r="M4" s="13"/>
    </row>
    <row r="5" customFormat="false" ht="23.85" hidden="false" customHeight="false" outlineLevel="0" collapsed="false">
      <c r="A5" s="11" t="s">
        <v>81</v>
      </c>
      <c r="B5" s="11" t="s">
        <v>32</v>
      </c>
      <c r="C5" s="11" t="s">
        <v>82</v>
      </c>
      <c r="D5" s="11" t="s">
        <v>83</v>
      </c>
      <c r="E5" s="12" t="s">
        <v>84</v>
      </c>
      <c r="F5" s="11" t="s">
        <v>85</v>
      </c>
      <c r="G5" s="11" t="s">
        <v>86</v>
      </c>
      <c r="H5" s="11" t="s">
        <v>87</v>
      </c>
      <c r="I5" s="11" t="s">
        <v>24</v>
      </c>
      <c r="J5" s="11" t="s">
        <v>68</v>
      </c>
      <c r="K5" s="13" t="s">
        <v>28</v>
      </c>
      <c r="L5" s="14"/>
      <c r="M5" s="13"/>
    </row>
    <row r="6" customFormat="false" ht="23.85" hidden="false" customHeight="false" outlineLevel="0" collapsed="false">
      <c r="A6" s="11" t="s">
        <v>88</v>
      </c>
      <c r="B6" s="11" t="s">
        <v>32</v>
      </c>
      <c r="C6" s="11" t="s">
        <v>82</v>
      </c>
      <c r="D6" s="11" t="s">
        <v>83</v>
      </c>
      <c r="E6" s="12" t="s">
        <v>89</v>
      </c>
      <c r="F6" s="11" t="s">
        <v>90</v>
      </c>
      <c r="G6" s="11" t="s">
        <v>91</v>
      </c>
      <c r="H6" s="11" t="s">
        <v>92</v>
      </c>
      <c r="I6" s="11" t="s">
        <v>24</v>
      </c>
      <c r="J6" s="11" t="s">
        <v>68</v>
      </c>
      <c r="K6" s="13" t="s">
        <v>28</v>
      </c>
      <c r="L6" s="14"/>
      <c r="M6" s="13"/>
    </row>
    <row r="7" customFormat="false" ht="23.85" hidden="false" customHeight="false" outlineLevel="0" collapsed="false">
      <c r="A7" s="11" t="s">
        <v>93</v>
      </c>
      <c r="B7" s="11" t="s">
        <v>32</v>
      </c>
      <c r="C7" s="11" t="s">
        <v>62</v>
      </c>
      <c r="D7" s="11" t="s">
        <v>83</v>
      </c>
      <c r="E7" s="12" t="s">
        <v>94</v>
      </c>
      <c r="F7" s="11" t="s">
        <v>95</v>
      </c>
      <c r="G7" s="11" t="s">
        <v>96</v>
      </c>
      <c r="H7" s="11" t="s">
        <v>97</v>
      </c>
      <c r="I7" s="11" t="s">
        <v>98</v>
      </c>
      <c r="J7" s="11" t="s">
        <v>68</v>
      </c>
      <c r="K7" s="13" t="s">
        <v>28</v>
      </c>
      <c r="L7" s="14"/>
      <c r="M7" s="13"/>
    </row>
    <row r="8" customFormat="false" ht="23.85" hidden="false" customHeight="false" outlineLevel="0" collapsed="false">
      <c r="A8" s="11" t="s">
        <v>99</v>
      </c>
      <c r="B8" s="11" t="s">
        <v>32</v>
      </c>
      <c r="C8" s="11" t="s">
        <v>100</v>
      </c>
      <c r="D8" s="11" t="s">
        <v>63</v>
      </c>
      <c r="E8" s="12" t="s">
        <v>101</v>
      </c>
      <c r="F8" s="11" t="s">
        <v>102</v>
      </c>
      <c r="G8" s="11" t="s">
        <v>103</v>
      </c>
      <c r="H8" s="11" t="s">
        <v>104</v>
      </c>
      <c r="I8" s="11" t="s">
        <v>24</v>
      </c>
      <c r="J8" s="11" t="s">
        <v>68</v>
      </c>
      <c r="K8" s="13" t="s">
        <v>28</v>
      </c>
      <c r="L8" s="14"/>
      <c r="M8" s="13"/>
    </row>
    <row r="9" customFormat="false" ht="23.85" hidden="false" customHeight="false" outlineLevel="0" collapsed="false">
      <c r="A9" s="11" t="s">
        <v>105</v>
      </c>
      <c r="B9" s="11" t="s">
        <v>32</v>
      </c>
      <c r="C9" s="11" t="s">
        <v>106</v>
      </c>
      <c r="D9" s="11" t="s">
        <v>107</v>
      </c>
      <c r="E9" s="12" t="s">
        <v>108</v>
      </c>
      <c r="F9" s="11" t="s">
        <v>109</v>
      </c>
      <c r="G9" s="11" t="s">
        <v>110</v>
      </c>
      <c r="H9" s="11" t="s">
        <v>111</v>
      </c>
      <c r="I9" s="11" t="s">
        <v>24</v>
      </c>
      <c r="J9" s="11" t="s">
        <v>68</v>
      </c>
      <c r="K9" s="13" t="s">
        <v>28</v>
      </c>
      <c r="L9" s="14"/>
      <c r="M9" s="13"/>
    </row>
    <row r="10" customFormat="false" ht="23.85" hidden="false" customHeight="false" outlineLevel="0" collapsed="false">
      <c r="A10" s="11" t="s">
        <v>112</v>
      </c>
      <c r="B10" s="11" t="s">
        <v>32</v>
      </c>
      <c r="C10" s="11" t="s">
        <v>106</v>
      </c>
      <c r="D10" s="11" t="s">
        <v>113</v>
      </c>
      <c r="E10" s="12" t="s">
        <v>114</v>
      </c>
      <c r="F10" s="11" t="s">
        <v>115</v>
      </c>
      <c r="G10" s="11" t="s">
        <v>116</v>
      </c>
      <c r="H10" s="11" t="s">
        <v>117</v>
      </c>
      <c r="I10" s="11" t="s">
        <v>24</v>
      </c>
      <c r="J10" s="11" t="s">
        <v>118</v>
      </c>
      <c r="K10" s="13" t="s">
        <v>28</v>
      </c>
      <c r="L10" s="14"/>
      <c r="M10" s="13"/>
    </row>
    <row r="11" customFormat="false" ht="23.85" hidden="false" customHeight="false" outlineLevel="0" collapsed="false">
      <c r="A11" s="11" t="s">
        <v>119</v>
      </c>
      <c r="B11" s="11" t="s">
        <v>32</v>
      </c>
      <c r="C11" s="11" t="s">
        <v>120</v>
      </c>
      <c r="D11" s="11" t="s">
        <v>121</v>
      </c>
      <c r="E11" s="12" t="s">
        <v>122</v>
      </c>
      <c r="F11" s="11" t="s">
        <v>123</v>
      </c>
      <c r="G11" s="11" t="s">
        <v>124</v>
      </c>
      <c r="H11" s="11" t="s">
        <v>125</v>
      </c>
      <c r="I11" s="11" t="s">
        <v>24</v>
      </c>
      <c r="J11" s="11" t="s">
        <v>118</v>
      </c>
      <c r="K11" s="13" t="s">
        <v>28</v>
      </c>
      <c r="L11" s="14"/>
      <c r="M11" s="13"/>
    </row>
    <row r="12" customFormat="false" ht="23.85" hidden="false" customHeight="false" outlineLevel="0" collapsed="false">
      <c r="A12" s="11" t="s">
        <v>126</v>
      </c>
      <c r="B12" s="11" t="s">
        <v>32</v>
      </c>
      <c r="C12" s="11" t="s">
        <v>120</v>
      </c>
      <c r="D12" s="11" t="s">
        <v>127</v>
      </c>
      <c r="E12" s="12" t="s">
        <v>128</v>
      </c>
      <c r="F12" s="11" t="s">
        <v>129</v>
      </c>
      <c r="G12" s="11" t="s">
        <v>130</v>
      </c>
      <c r="H12" s="11" t="s">
        <v>131</v>
      </c>
      <c r="I12" s="11" t="s">
        <v>24</v>
      </c>
      <c r="J12" s="11" t="s">
        <v>68</v>
      </c>
      <c r="K12" s="13" t="s">
        <v>28</v>
      </c>
      <c r="L12" s="14"/>
      <c r="M12" s="13"/>
    </row>
    <row r="13" customFormat="false" ht="23.85" hidden="false" customHeight="false" outlineLevel="0" collapsed="false">
      <c r="A13" s="11" t="s">
        <v>132</v>
      </c>
      <c r="B13" s="11" t="s">
        <v>32</v>
      </c>
      <c r="C13" s="11" t="s">
        <v>120</v>
      </c>
      <c r="D13" s="11" t="s">
        <v>133</v>
      </c>
      <c r="E13" s="12" t="s">
        <v>134</v>
      </c>
      <c r="F13" s="11" t="s">
        <v>135</v>
      </c>
      <c r="G13" s="11" t="s">
        <v>136</v>
      </c>
      <c r="H13" s="11" t="s">
        <v>137</v>
      </c>
      <c r="I13" s="11" t="s">
        <v>24</v>
      </c>
      <c r="J13" s="11" t="s">
        <v>118</v>
      </c>
      <c r="K13" s="13" t="s">
        <v>28</v>
      </c>
      <c r="L13" s="14"/>
      <c r="M13" s="13"/>
    </row>
    <row r="14" customFormat="false" ht="23.85" hidden="false" customHeight="false" outlineLevel="0" collapsed="false">
      <c r="A14" s="11" t="s">
        <v>138</v>
      </c>
      <c r="B14" s="11" t="s">
        <v>34</v>
      </c>
      <c r="C14" s="11" t="s">
        <v>139</v>
      </c>
      <c r="D14" s="11" t="s">
        <v>140</v>
      </c>
      <c r="E14" s="12" t="s">
        <v>141</v>
      </c>
      <c r="F14" s="11" t="s">
        <v>142</v>
      </c>
      <c r="G14" s="11" t="s">
        <v>143</v>
      </c>
      <c r="H14" s="11" t="s">
        <v>144</v>
      </c>
      <c r="I14" s="11" t="s">
        <v>24</v>
      </c>
      <c r="J14" s="11" t="s">
        <v>68</v>
      </c>
      <c r="K14" s="13" t="s">
        <v>28</v>
      </c>
      <c r="L14" s="14"/>
      <c r="M14" s="13"/>
    </row>
    <row r="15" customFormat="false" ht="23.85" hidden="false" customHeight="false" outlineLevel="0" collapsed="false">
      <c r="A15" s="11" t="s">
        <v>145</v>
      </c>
      <c r="B15" s="11" t="s">
        <v>34</v>
      </c>
      <c r="C15" s="11" t="s">
        <v>139</v>
      </c>
      <c r="D15" s="11" t="s">
        <v>140</v>
      </c>
      <c r="E15" s="12" t="s">
        <v>146</v>
      </c>
      <c r="F15" s="11" t="s">
        <v>147</v>
      </c>
      <c r="G15" s="11" t="s">
        <v>143</v>
      </c>
      <c r="H15" s="11" t="s">
        <v>148</v>
      </c>
      <c r="I15" s="11" t="s">
        <v>24</v>
      </c>
      <c r="J15" s="11" t="s">
        <v>68</v>
      </c>
      <c r="K15" s="13" t="s">
        <v>28</v>
      </c>
      <c r="L15" s="14"/>
      <c r="M15" s="13"/>
    </row>
    <row r="16" customFormat="false" ht="15" hidden="false" customHeight="false" outlineLevel="0" collapsed="false">
      <c r="A16" s="11" t="s">
        <v>149</v>
      </c>
      <c r="B16" s="11" t="s">
        <v>34</v>
      </c>
      <c r="C16" s="11" t="s">
        <v>150</v>
      </c>
      <c r="D16" s="11" t="s">
        <v>151</v>
      </c>
      <c r="E16" s="12" t="s">
        <v>152</v>
      </c>
      <c r="F16" s="11" t="s">
        <v>153</v>
      </c>
      <c r="G16" s="11" t="s">
        <v>154</v>
      </c>
      <c r="H16" s="11" t="s">
        <v>155</v>
      </c>
      <c r="I16" s="11" t="s">
        <v>24</v>
      </c>
      <c r="J16" s="11" t="s">
        <v>68</v>
      </c>
      <c r="K16" s="13" t="s">
        <v>28</v>
      </c>
      <c r="L16" s="14"/>
      <c r="M16" s="13"/>
    </row>
    <row r="17" customFormat="false" ht="15" hidden="false" customHeight="false" outlineLevel="0" collapsed="false">
      <c r="A17" s="11" t="s">
        <v>156</v>
      </c>
      <c r="B17" s="11" t="s">
        <v>34</v>
      </c>
      <c r="C17" s="11" t="s">
        <v>150</v>
      </c>
      <c r="D17" s="11" t="s">
        <v>151</v>
      </c>
      <c r="E17" s="12" t="s">
        <v>157</v>
      </c>
      <c r="F17" s="11" t="s">
        <v>158</v>
      </c>
      <c r="G17" s="11" t="s">
        <v>159</v>
      </c>
      <c r="H17" s="11" t="s">
        <v>160</v>
      </c>
      <c r="I17" s="11" t="s">
        <v>24</v>
      </c>
      <c r="J17" s="11" t="s">
        <v>68</v>
      </c>
      <c r="K17" s="13" t="s">
        <v>28</v>
      </c>
      <c r="L17" s="14"/>
      <c r="M17" s="13"/>
    </row>
    <row r="18" customFormat="false" ht="23.85" hidden="false" customHeight="false" outlineLevel="0" collapsed="false">
      <c r="A18" s="11" t="s">
        <v>161</v>
      </c>
      <c r="B18" s="11" t="s">
        <v>34</v>
      </c>
      <c r="C18" s="11" t="s">
        <v>150</v>
      </c>
      <c r="D18" s="11" t="s">
        <v>140</v>
      </c>
      <c r="E18" s="12" t="s">
        <v>162</v>
      </c>
      <c r="F18" s="11" t="s">
        <v>163</v>
      </c>
      <c r="G18" s="11" t="s">
        <v>164</v>
      </c>
      <c r="H18" s="11" t="s">
        <v>165</v>
      </c>
      <c r="I18" s="11" t="s">
        <v>24</v>
      </c>
      <c r="J18" s="11" t="s">
        <v>68</v>
      </c>
      <c r="K18" s="13" t="s">
        <v>28</v>
      </c>
      <c r="L18" s="14"/>
      <c r="M18" s="13"/>
    </row>
    <row r="19" customFormat="false" ht="15" hidden="false" customHeight="false" outlineLevel="0" collapsed="false">
      <c r="A19" s="11" t="s">
        <v>166</v>
      </c>
      <c r="B19" s="11" t="s">
        <v>34</v>
      </c>
      <c r="C19" s="11" t="s">
        <v>139</v>
      </c>
      <c r="D19" s="11" t="s">
        <v>140</v>
      </c>
      <c r="E19" s="12" t="s">
        <v>167</v>
      </c>
      <c r="F19" s="11" t="s">
        <v>168</v>
      </c>
      <c r="G19" s="11" t="s">
        <v>143</v>
      </c>
      <c r="H19" s="11" t="s">
        <v>169</v>
      </c>
      <c r="I19" s="11" t="s">
        <v>24</v>
      </c>
      <c r="J19" s="11" t="s">
        <v>68</v>
      </c>
      <c r="K19" s="13" t="s">
        <v>28</v>
      </c>
      <c r="L19" s="14"/>
      <c r="M19" s="13"/>
    </row>
    <row r="20" customFormat="false" ht="23.85" hidden="false" customHeight="false" outlineLevel="0" collapsed="false">
      <c r="A20" s="11" t="s">
        <v>170</v>
      </c>
      <c r="B20" s="11" t="s">
        <v>34</v>
      </c>
      <c r="C20" s="11" t="s">
        <v>139</v>
      </c>
      <c r="D20" s="11" t="s">
        <v>140</v>
      </c>
      <c r="E20" s="12" t="s">
        <v>171</v>
      </c>
      <c r="F20" s="11" t="s">
        <v>172</v>
      </c>
      <c r="G20" s="11" t="s">
        <v>143</v>
      </c>
      <c r="H20" s="11" t="s">
        <v>173</v>
      </c>
      <c r="I20" s="11" t="s">
        <v>24</v>
      </c>
      <c r="J20" s="11" t="s">
        <v>68</v>
      </c>
      <c r="K20" s="13" t="s">
        <v>28</v>
      </c>
      <c r="L20" s="14"/>
      <c r="M20" s="13"/>
    </row>
    <row r="21" customFormat="false" ht="23.85" hidden="false" customHeight="false" outlineLevel="0" collapsed="false">
      <c r="A21" s="11" t="s">
        <v>174</v>
      </c>
      <c r="B21" s="11" t="s">
        <v>34</v>
      </c>
      <c r="C21" s="11" t="s">
        <v>139</v>
      </c>
      <c r="D21" s="11" t="s">
        <v>140</v>
      </c>
      <c r="E21" s="12" t="s">
        <v>175</v>
      </c>
      <c r="F21" s="11" t="s">
        <v>176</v>
      </c>
      <c r="G21" s="11" t="s">
        <v>177</v>
      </c>
      <c r="H21" s="11" t="s">
        <v>178</v>
      </c>
      <c r="I21" s="11" t="s">
        <v>24</v>
      </c>
      <c r="J21" s="11" t="s">
        <v>68</v>
      </c>
      <c r="K21" s="13" t="s">
        <v>28</v>
      </c>
      <c r="L21" s="14"/>
      <c r="M21" s="13"/>
    </row>
    <row r="22" customFormat="false" ht="23.85" hidden="false" customHeight="false" outlineLevel="0" collapsed="false">
      <c r="A22" s="11" t="s">
        <v>179</v>
      </c>
      <c r="B22" s="11" t="s">
        <v>34</v>
      </c>
      <c r="C22" s="11" t="s">
        <v>139</v>
      </c>
      <c r="D22" s="11" t="s">
        <v>140</v>
      </c>
      <c r="E22" s="12" t="s">
        <v>180</v>
      </c>
      <c r="F22" s="11" t="s">
        <v>181</v>
      </c>
      <c r="G22" s="11" t="s">
        <v>143</v>
      </c>
      <c r="H22" s="11" t="s">
        <v>182</v>
      </c>
      <c r="I22" s="11" t="s">
        <v>24</v>
      </c>
      <c r="J22" s="11" t="s">
        <v>68</v>
      </c>
      <c r="K22" s="13" t="s">
        <v>28</v>
      </c>
      <c r="L22" s="14"/>
      <c r="M22" s="13"/>
    </row>
    <row r="23" customFormat="false" ht="23.85" hidden="false" customHeight="false" outlineLevel="0" collapsed="false">
      <c r="A23" s="11" t="s">
        <v>183</v>
      </c>
      <c r="B23" s="11" t="s">
        <v>34</v>
      </c>
      <c r="C23" s="11" t="s">
        <v>139</v>
      </c>
      <c r="D23" s="11" t="s">
        <v>140</v>
      </c>
      <c r="E23" s="12" t="s">
        <v>184</v>
      </c>
      <c r="F23" s="11" t="s">
        <v>185</v>
      </c>
      <c r="G23" s="11" t="s">
        <v>186</v>
      </c>
      <c r="H23" s="11" t="s">
        <v>187</v>
      </c>
      <c r="I23" s="11" t="s">
        <v>24</v>
      </c>
      <c r="J23" s="11" t="s">
        <v>68</v>
      </c>
      <c r="K23" s="13" t="s">
        <v>28</v>
      </c>
      <c r="L23" s="14"/>
      <c r="M23" s="13"/>
    </row>
    <row r="24" customFormat="false" ht="23.85" hidden="false" customHeight="false" outlineLevel="0" collapsed="false">
      <c r="A24" s="11" t="s">
        <v>188</v>
      </c>
      <c r="B24" s="11" t="s">
        <v>34</v>
      </c>
      <c r="C24" s="11" t="s">
        <v>139</v>
      </c>
      <c r="D24" s="11" t="s">
        <v>140</v>
      </c>
      <c r="E24" s="12" t="s">
        <v>189</v>
      </c>
      <c r="F24" s="11" t="s">
        <v>190</v>
      </c>
      <c r="G24" s="11" t="s">
        <v>191</v>
      </c>
      <c r="H24" s="11" t="s">
        <v>192</v>
      </c>
      <c r="I24" s="11" t="s">
        <v>24</v>
      </c>
      <c r="J24" s="11" t="s">
        <v>68</v>
      </c>
      <c r="K24" s="13" t="s">
        <v>28</v>
      </c>
      <c r="L24" s="14"/>
      <c r="M24" s="13"/>
    </row>
    <row r="25" customFormat="false" ht="23.85" hidden="false" customHeight="false" outlineLevel="0" collapsed="false">
      <c r="A25" s="11" t="s">
        <v>193</v>
      </c>
      <c r="B25" s="11" t="s">
        <v>34</v>
      </c>
      <c r="C25" s="11" t="s">
        <v>139</v>
      </c>
      <c r="D25" s="11" t="s">
        <v>194</v>
      </c>
      <c r="E25" s="12" t="s">
        <v>195</v>
      </c>
      <c r="F25" s="11" t="s">
        <v>196</v>
      </c>
      <c r="G25" s="11" t="s">
        <v>197</v>
      </c>
      <c r="H25" s="11" t="s">
        <v>198</v>
      </c>
      <c r="I25" s="11" t="s">
        <v>24</v>
      </c>
      <c r="J25" s="11" t="s">
        <v>68</v>
      </c>
      <c r="K25" s="13" t="s">
        <v>28</v>
      </c>
      <c r="L25" s="14"/>
      <c r="M25" s="13"/>
    </row>
    <row r="26" customFormat="false" ht="23.85" hidden="false" customHeight="false" outlineLevel="0" collapsed="false">
      <c r="A26" s="11" t="s">
        <v>199</v>
      </c>
      <c r="B26" s="11" t="s">
        <v>34</v>
      </c>
      <c r="C26" s="11" t="s">
        <v>200</v>
      </c>
      <c r="D26" s="11" t="s">
        <v>107</v>
      </c>
      <c r="E26" s="12" t="s">
        <v>201</v>
      </c>
      <c r="F26" s="11" t="s">
        <v>202</v>
      </c>
      <c r="G26" s="11" t="s">
        <v>203</v>
      </c>
      <c r="H26" s="11" t="s">
        <v>204</v>
      </c>
      <c r="I26" s="11" t="s">
        <v>24</v>
      </c>
      <c r="J26" s="11" t="s">
        <v>68</v>
      </c>
      <c r="K26" s="13" t="s">
        <v>28</v>
      </c>
      <c r="L26" s="14"/>
      <c r="M26" s="13"/>
    </row>
    <row r="27" customFormat="false" ht="15" hidden="false" customHeight="false" outlineLevel="0" collapsed="false">
      <c r="A27" s="11" t="s">
        <v>205</v>
      </c>
      <c r="B27" s="11" t="s">
        <v>34</v>
      </c>
      <c r="C27" s="11" t="s">
        <v>200</v>
      </c>
      <c r="D27" s="11" t="s">
        <v>107</v>
      </c>
      <c r="E27" s="12" t="s">
        <v>206</v>
      </c>
      <c r="F27" s="11" t="s">
        <v>207</v>
      </c>
      <c r="G27" s="11" t="s">
        <v>208</v>
      </c>
      <c r="H27" s="11" t="s">
        <v>209</v>
      </c>
      <c r="I27" s="11" t="s">
        <v>98</v>
      </c>
      <c r="J27" s="11" t="s">
        <v>68</v>
      </c>
      <c r="K27" s="13" t="s">
        <v>28</v>
      </c>
      <c r="L27" s="14"/>
      <c r="M27" s="13"/>
    </row>
    <row r="28" customFormat="false" ht="23.85" hidden="false" customHeight="false" outlineLevel="0" collapsed="false">
      <c r="A28" s="11" t="s">
        <v>210</v>
      </c>
      <c r="B28" s="11" t="s">
        <v>34</v>
      </c>
      <c r="C28" s="11" t="s">
        <v>211</v>
      </c>
      <c r="D28" s="11" t="s">
        <v>107</v>
      </c>
      <c r="E28" s="12" t="s">
        <v>212</v>
      </c>
      <c r="F28" s="11" t="s">
        <v>213</v>
      </c>
      <c r="G28" s="11" t="s">
        <v>214</v>
      </c>
      <c r="H28" s="11" t="s">
        <v>215</v>
      </c>
      <c r="I28" s="11" t="s">
        <v>24</v>
      </c>
      <c r="J28" s="11" t="s">
        <v>68</v>
      </c>
      <c r="K28" s="13" t="s">
        <v>28</v>
      </c>
      <c r="L28" s="14"/>
      <c r="M28" s="13"/>
    </row>
    <row r="29" customFormat="false" ht="23.85" hidden="false" customHeight="false" outlineLevel="0" collapsed="false">
      <c r="A29" s="11" t="s">
        <v>216</v>
      </c>
      <c r="B29" s="11" t="s">
        <v>34</v>
      </c>
      <c r="C29" s="11" t="s">
        <v>211</v>
      </c>
      <c r="D29" s="11" t="s">
        <v>107</v>
      </c>
      <c r="E29" s="12" t="s">
        <v>217</v>
      </c>
      <c r="F29" s="11" t="s">
        <v>218</v>
      </c>
      <c r="G29" s="11" t="s">
        <v>219</v>
      </c>
      <c r="H29" s="11" t="s">
        <v>220</v>
      </c>
      <c r="I29" s="11" t="s">
        <v>24</v>
      </c>
      <c r="J29" s="11" t="s">
        <v>68</v>
      </c>
      <c r="K29" s="13" t="s">
        <v>28</v>
      </c>
      <c r="L29" s="14"/>
      <c r="M29" s="13"/>
    </row>
    <row r="30" customFormat="false" ht="23.85" hidden="false" customHeight="false" outlineLevel="0" collapsed="false">
      <c r="A30" s="11" t="s">
        <v>221</v>
      </c>
      <c r="B30" s="11" t="s">
        <v>34</v>
      </c>
      <c r="C30" s="11" t="s">
        <v>222</v>
      </c>
      <c r="D30" s="11" t="s">
        <v>223</v>
      </c>
      <c r="E30" s="12" t="s">
        <v>224</v>
      </c>
      <c r="F30" s="11" t="s">
        <v>225</v>
      </c>
      <c r="G30" s="11" t="s">
        <v>226</v>
      </c>
      <c r="H30" s="11" t="s">
        <v>227</v>
      </c>
      <c r="I30" s="11" t="s">
        <v>98</v>
      </c>
      <c r="J30" s="11" t="s">
        <v>68</v>
      </c>
      <c r="K30" s="13" t="s">
        <v>28</v>
      </c>
      <c r="L30" s="14"/>
      <c r="M30" s="13"/>
    </row>
    <row r="31" customFormat="false" ht="23.85" hidden="false" customHeight="false" outlineLevel="0" collapsed="false">
      <c r="A31" s="11" t="s">
        <v>228</v>
      </c>
      <c r="B31" s="11" t="s">
        <v>34</v>
      </c>
      <c r="C31" s="11" t="s">
        <v>229</v>
      </c>
      <c r="D31" s="11" t="s">
        <v>230</v>
      </c>
      <c r="E31" s="12" t="s">
        <v>231</v>
      </c>
      <c r="F31" s="11" t="s">
        <v>232</v>
      </c>
      <c r="G31" s="11" t="s">
        <v>233</v>
      </c>
      <c r="H31" s="11" t="s">
        <v>234</v>
      </c>
      <c r="I31" s="11" t="s">
        <v>24</v>
      </c>
      <c r="J31" s="11" t="s">
        <v>118</v>
      </c>
      <c r="K31" s="13" t="s">
        <v>28</v>
      </c>
      <c r="L31" s="14"/>
      <c r="M31" s="13"/>
    </row>
    <row r="32" customFormat="false" ht="15" hidden="false" customHeight="false" outlineLevel="0" collapsed="false">
      <c r="A32" s="11" t="s">
        <v>235</v>
      </c>
      <c r="B32" s="11" t="s">
        <v>34</v>
      </c>
      <c r="C32" s="11" t="s">
        <v>229</v>
      </c>
      <c r="D32" s="11" t="s">
        <v>230</v>
      </c>
      <c r="E32" s="12" t="s">
        <v>236</v>
      </c>
      <c r="F32" s="11" t="s">
        <v>202</v>
      </c>
      <c r="G32" s="11" t="s">
        <v>154</v>
      </c>
      <c r="H32" s="11" t="s">
        <v>237</v>
      </c>
      <c r="I32" s="11" t="s">
        <v>24</v>
      </c>
      <c r="J32" s="11" t="s">
        <v>118</v>
      </c>
      <c r="K32" s="13" t="s">
        <v>28</v>
      </c>
      <c r="L32" s="14"/>
      <c r="M32" s="13"/>
    </row>
    <row r="33" customFormat="false" ht="23.85" hidden="false" customHeight="false" outlineLevel="0" collapsed="false">
      <c r="A33" s="11" t="s">
        <v>238</v>
      </c>
      <c r="B33" s="11" t="s">
        <v>34</v>
      </c>
      <c r="C33" s="11" t="s">
        <v>229</v>
      </c>
      <c r="D33" s="11" t="s">
        <v>230</v>
      </c>
      <c r="E33" s="12" t="s">
        <v>239</v>
      </c>
      <c r="F33" s="11" t="s">
        <v>240</v>
      </c>
      <c r="G33" s="11" t="s">
        <v>241</v>
      </c>
      <c r="H33" s="11" t="s">
        <v>242</v>
      </c>
      <c r="I33" s="11" t="s">
        <v>98</v>
      </c>
      <c r="J33" s="11" t="s">
        <v>118</v>
      </c>
      <c r="K33" s="13" t="s">
        <v>28</v>
      </c>
      <c r="L33" s="14"/>
      <c r="M33" s="13"/>
    </row>
    <row r="34" customFormat="false" ht="23.85" hidden="false" customHeight="false" outlineLevel="0" collapsed="false">
      <c r="A34" s="11" t="s">
        <v>243</v>
      </c>
      <c r="B34" s="11" t="s">
        <v>36</v>
      </c>
      <c r="C34" s="11" t="s">
        <v>37</v>
      </c>
      <c r="D34" s="11" t="s">
        <v>151</v>
      </c>
      <c r="E34" s="12" t="s">
        <v>244</v>
      </c>
      <c r="F34" s="11" t="s">
        <v>245</v>
      </c>
      <c r="G34" s="11" t="s">
        <v>246</v>
      </c>
      <c r="H34" s="11" t="s">
        <v>247</v>
      </c>
      <c r="I34" s="11" t="s">
        <v>24</v>
      </c>
      <c r="J34" s="11" t="s">
        <v>68</v>
      </c>
      <c r="K34" s="13" t="s">
        <v>28</v>
      </c>
      <c r="L34" s="14"/>
      <c r="M34" s="13"/>
    </row>
    <row r="35" customFormat="false" ht="23.85" hidden="false" customHeight="false" outlineLevel="0" collapsed="false">
      <c r="A35" s="11" t="s">
        <v>248</v>
      </c>
      <c r="B35" s="11" t="s">
        <v>36</v>
      </c>
      <c r="C35" s="11" t="s">
        <v>37</v>
      </c>
      <c r="D35" s="11" t="s">
        <v>140</v>
      </c>
      <c r="E35" s="12" t="s">
        <v>249</v>
      </c>
      <c r="F35" s="11" t="s">
        <v>250</v>
      </c>
      <c r="G35" s="11" t="s">
        <v>251</v>
      </c>
      <c r="H35" s="11" t="s">
        <v>252</v>
      </c>
      <c r="I35" s="11" t="s">
        <v>24</v>
      </c>
      <c r="J35" s="11" t="s">
        <v>68</v>
      </c>
      <c r="K35" s="13" t="s">
        <v>28</v>
      </c>
      <c r="L35" s="14"/>
      <c r="M35" s="13"/>
    </row>
    <row r="36" customFormat="false" ht="23.85" hidden="false" customHeight="false" outlineLevel="0" collapsed="false">
      <c r="A36" s="11" t="s">
        <v>253</v>
      </c>
      <c r="B36" s="11" t="s">
        <v>36</v>
      </c>
      <c r="C36" s="11" t="s">
        <v>37</v>
      </c>
      <c r="D36" s="11" t="s">
        <v>140</v>
      </c>
      <c r="E36" s="12" t="s">
        <v>254</v>
      </c>
      <c r="F36" s="11" t="s">
        <v>255</v>
      </c>
      <c r="G36" s="11" t="s">
        <v>143</v>
      </c>
      <c r="H36" s="11" t="s">
        <v>256</v>
      </c>
      <c r="I36" s="11" t="s">
        <v>24</v>
      </c>
      <c r="J36" s="11" t="s">
        <v>68</v>
      </c>
      <c r="K36" s="13" t="s">
        <v>28</v>
      </c>
      <c r="L36" s="14"/>
      <c r="M36" s="13"/>
    </row>
    <row r="37" customFormat="false" ht="46.25" hidden="false" customHeight="false" outlineLevel="0" collapsed="false">
      <c r="A37" s="11" t="s">
        <v>257</v>
      </c>
      <c r="B37" s="11" t="s">
        <v>36</v>
      </c>
      <c r="C37" s="11" t="s">
        <v>258</v>
      </c>
      <c r="D37" s="11" t="s">
        <v>107</v>
      </c>
      <c r="E37" s="12" t="s">
        <v>259</v>
      </c>
      <c r="F37" s="11" t="s">
        <v>260</v>
      </c>
      <c r="G37" s="11" t="s">
        <v>261</v>
      </c>
      <c r="H37" s="11" t="s">
        <v>262</v>
      </c>
      <c r="I37" s="11" t="s">
        <v>24</v>
      </c>
      <c r="J37" s="11" t="s">
        <v>68</v>
      </c>
      <c r="K37" s="13" t="s">
        <v>28</v>
      </c>
      <c r="L37" s="14"/>
      <c r="M37" s="13"/>
    </row>
    <row r="38" customFormat="false" ht="23.85" hidden="false" customHeight="false" outlineLevel="0" collapsed="false">
      <c r="A38" s="11" t="s">
        <v>263</v>
      </c>
      <c r="B38" s="11" t="s">
        <v>36</v>
      </c>
      <c r="C38" s="11" t="s">
        <v>258</v>
      </c>
      <c r="D38" s="11" t="s">
        <v>151</v>
      </c>
      <c r="E38" s="12" t="s">
        <v>264</v>
      </c>
      <c r="F38" s="11" t="s">
        <v>265</v>
      </c>
      <c r="G38" s="11" t="s">
        <v>266</v>
      </c>
      <c r="H38" s="11" t="s">
        <v>267</v>
      </c>
      <c r="I38" s="11" t="s">
        <v>24</v>
      </c>
      <c r="J38" s="11" t="s">
        <v>68</v>
      </c>
      <c r="K38" s="13" t="s">
        <v>28</v>
      </c>
      <c r="L38" s="14"/>
      <c r="M38" s="13"/>
    </row>
    <row r="39" customFormat="false" ht="23.85" hidden="false" customHeight="false" outlineLevel="0" collapsed="false">
      <c r="A39" s="11" t="s">
        <v>268</v>
      </c>
      <c r="B39" s="11" t="s">
        <v>36</v>
      </c>
      <c r="C39" s="11" t="s">
        <v>258</v>
      </c>
      <c r="D39" s="11" t="s">
        <v>151</v>
      </c>
      <c r="E39" s="12" t="s">
        <v>269</v>
      </c>
      <c r="F39" s="11" t="s">
        <v>270</v>
      </c>
      <c r="G39" s="11" t="s">
        <v>271</v>
      </c>
      <c r="H39" s="11" t="s">
        <v>272</v>
      </c>
      <c r="I39" s="11" t="s">
        <v>24</v>
      </c>
      <c r="J39" s="11" t="s">
        <v>68</v>
      </c>
      <c r="K39" s="13" t="s">
        <v>28</v>
      </c>
      <c r="L39" s="14"/>
      <c r="M39" s="13"/>
    </row>
    <row r="40" customFormat="false" ht="23.85" hidden="false" customHeight="false" outlineLevel="0" collapsed="false">
      <c r="A40" s="11" t="s">
        <v>273</v>
      </c>
      <c r="B40" s="11" t="s">
        <v>36</v>
      </c>
      <c r="C40" s="11" t="s">
        <v>258</v>
      </c>
      <c r="D40" s="11" t="s">
        <v>151</v>
      </c>
      <c r="E40" s="12" t="s">
        <v>274</v>
      </c>
      <c r="F40" s="11" t="s">
        <v>275</v>
      </c>
      <c r="G40" s="11" t="s">
        <v>276</v>
      </c>
      <c r="H40" s="11" t="s">
        <v>277</v>
      </c>
      <c r="I40" s="11" t="s">
        <v>24</v>
      </c>
      <c r="J40" s="11" t="s">
        <v>68</v>
      </c>
      <c r="K40" s="13" t="s">
        <v>28</v>
      </c>
      <c r="L40" s="14"/>
      <c r="M40" s="13"/>
    </row>
    <row r="41" customFormat="false" ht="23.85" hidden="false" customHeight="false" outlineLevel="0" collapsed="false">
      <c r="A41" s="11" t="s">
        <v>278</v>
      </c>
      <c r="B41" s="11" t="s">
        <v>36</v>
      </c>
      <c r="C41" s="11" t="s">
        <v>37</v>
      </c>
      <c r="D41" s="11" t="s">
        <v>140</v>
      </c>
      <c r="E41" s="12" t="s">
        <v>279</v>
      </c>
      <c r="F41" s="11" t="s">
        <v>280</v>
      </c>
      <c r="G41" s="11" t="s">
        <v>281</v>
      </c>
      <c r="H41" s="11" t="s">
        <v>282</v>
      </c>
      <c r="I41" s="11" t="s">
        <v>24</v>
      </c>
      <c r="J41" s="11" t="s">
        <v>68</v>
      </c>
      <c r="K41" s="13" t="s">
        <v>28</v>
      </c>
      <c r="L41" s="14"/>
      <c r="M41" s="13"/>
    </row>
    <row r="42" customFormat="false" ht="23.85" hidden="false" customHeight="false" outlineLevel="0" collapsed="false">
      <c r="A42" s="11" t="s">
        <v>283</v>
      </c>
      <c r="B42" s="11" t="s">
        <v>36</v>
      </c>
      <c r="C42" s="11" t="s">
        <v>37</v>
      </c>
      <c r="D42" s="11" t="s">
        <v>284</v>
      </c>
      <c r="E42" s="12" t="s">
        <v>285</v>
      </c>
      <c r="F42" s="11" t="s">
        <v>286</v>
      </c>
      <c r="G42" s="11" t="s">
        <v>287</v>
      </c>
      <c r="H42" s="11" t="s">
        <v>288</v>
      </c>
      <c r="I42" s="11" t="s">
        <v>24</v>
      </c>
      <c r="J42" s="11" t="s">
        <v>68</v>
      </c>
      <c r="K42" s="13" t="s">
        <v>28</v>
      </c>
      <c r="L42" s="14"/>
      <c r="M42" s="13"/>
    </row>
    <row r="43" customFormat="false" ht="35.05" hidden="false" customHeight="false" outlineLevel="0" collapsed="false">
      <c r="A43" s="11" t="s">
        <v>289</v>
      </c>
      <c r="B43" s="11" t="s">
        <v>36</v>
      </c>
      <c r="C43" s="11" t="s">
        <v>290</v>
      </c>
      <c r="D43" s="11" t="s">
        <v>107</v>
      </c>
      <c r="E43" s="12" t="s">
        <v>291</v>
      </c>
      <c r="F43" s="11" t="s">
        <v>292</v>
      </c>
      <c r="G43" s="11" t="s">
        <v>293</v>
      </c>
      <c r="H43" s="11" t="s">
        <v>294</v>
      </c>
      <c r="I43" s="11" t="s">
        <v>24</v>
      </c>
      <c r="J43" s="11" t="s">
        <v>68</v>
      </c>
      <c r="K43" s="13" t="s">
        <v>28</v>
      </c>
      <c r="L43" s="14"/>
      <c r="M43" s="13"/>
    </row>
    <row r="44" customFormat="false" ht="23.85" hidden="false" customHeight="false" outlineLevel="0" collapsed="false">
      <c r="A44" s="11" t="s">
        <v>295</v>
      </c>
      <c r="B44" s="11" t="s">
        <v>36</v>
      </c>
      <c r="C44" s="11" t="s">
        <v>290</v>
      </c>
      <c r="D44" s="11" t="s">
        <v>107</v>
      </c>
      <c r="E44" s="12" t="s">
        <v>296</v>
      </c>
      <c r="F44" s="11" t="s">
        <v>297</v>
      </c>
      <c r="G44" s="11" t="s">
        <v>298</v>
      </c>
      <c r="H44" s="11" t="s">
        <v>299</v>
      </c>
      <c r="I44" s="11" t="s">
        <v>24</v>
      </c>
      <c r="J44" s="11" t="s">
        <v>68</v>
      </c>
      <c r="K44" s="13" t="s">
        <v>28</v>
      </c>
      <c r="L44" s="14"/>
      <c r="M44" s="13"/>
    </row>
    <row r="45" customFormat="false" ht="15" hidden="false" customHeight="false" outlineLevel="0" collapsed="false">
      <c r="A45" s="11" t="s">
        <v>300</v>
      </c>
      <c r="B45" s="11" t="s">
        <v>36</v>
      </c>
      <c r="C45" s="11" t="s">
        <v>290</v>
      </c>
      <c r="D45" s="11" t="s">
        <v>107</v>
      </c>
      <c r="E45" s="12" t="s">
        <v>301</v>
      </c>
      <c r="F45" s="11" t="s">
        <v>302</v>
      </c>
      <c r="G45" s="11" t="s">
        <v>303</v>
      </c>
      <c r="H45" s="11" t="s">
        <v>304</v>
      </c>
      <c r="I45" s="11" t="s">
        <v>24</v>
      </c>
      <c r="J45" s="11" t="s">
        <v>68</v>
      </c>
      <c r="K45" s="13" t="s">
        <v>28</v>
      </c>
      <c r="L45" s="14"/>
      <c r="M45" s="13"/>
    </row>
    <row r="46" customFormat="false" ht="23.85" hidden="false" customHeight="false" outlineLevel="0" collapsed="false">
      <c r="A46" s="11" t="s">
        <v>305</v>
      </c>
      <c r="B46" s="11" t="s">
        <v>36</v>
      </c>
      <c r="C46" s="11" t="s">
        <v>290</v>
      </c>
      <c r="D46" s="11" t="s">
        <v>107</v>
      </c>
      <c r="E46" s="12" t="s">
        <v>306</v>
      </c>
      <c r="F46" s="11" t="s">
        <v>307</v>
      </c>
      <c r="G46" s="11" t="s">
        <v>308</v>
      </c>
      <c r="H46" s="11" t="s">
        <v>309</v>
      </c>
      <c r="I46" s="11" t="s">
        <v>24</v>
      </c>
      <c r="J46" s="11" t="s">
        <v>68</v>
      </c>
      <c r="K46" s="13" t="s">
        <v>28</v>
      </c>
      <c r="L46" s="14"/>
      <c r="M46" s="13"/>
    </row>
    <row r="47" customFormat="false" ht="23.85" hidden="false" customHeight="false" outlineLevel="0" collapsed="false">
      <c r="A47" s="11" t="s">
        <v>310</v>
      </c>
      <c r="B47" s="11" t="s">
        <v>36</v>
      </c>
      <c r="C47" s="11" t="s">
        <v>311</v>
      </c>
      <c r="D47" s="11" t="s">
        <v>312</v>
      </c>
      <c r="E47" s="12" t="s">
        <v>313</v>
      </c>
      <c r="F47" s="11" t="s">
        <v>314</v>
      </c>
      <c r="G47" s="11" t="s">
        <v>315</v>
      </c>
      <c r="H47" s="11" t="s">
        <v>316</v>
      </c>
      <c r="I47" s="11" t="s">
        <v>24</v>
      </c>
      <c r="J47" s="11" t="s">
        <v>68</v>
      </c>
      <c r="K47" s="13" t="s">
        <v>28</v>
      </c>
      <c r="L47" s="14"/>
      <c r="M47" s="13"/>
    </row>
    <row r="48" customFormat="false" ht="23.85" hidden="false" customHeight="false" outlineLevel="0" collapsed="false">
      <c r="A48" s="11" t="s">
        <v>317</v>
      </c>
      <c r="B48" s="11" t="s">
        <v>36</v>
      </c>
      <c r="C48" s="11" t="s">
        <v>311</v>
      </c>
      <c r="D48" s="11" t="s">
        <v>312</v>
      </c>
      <c r="E48" s="12" t="s">
        <v>318</v>
      </c>
      <c r="F48" s="11" t="s">
        <v>319</v>
      </c>
      <c r="G48" s="11" t="s">
        <v>315</v>
      </c>
      <c r="H48" s="11" t="s">
        <v>320</v>
      </c>
      <c r="I48" s="11" t="s">
        <v>98</v>
      </c>
      <c r="J48" s="11" t="s">
        <v>68</v>
      </c>
      <c r="K48" s="13" t="s">
        <v>28</v>
      </c>
      <c r="L48" s="14"/>
      <c r="M48" s="13"/>
    </row>
    <row r="49" customFormat="false" ht="23.85" hidden="false" customHeight="false" outlineLevel="0" collapsed="false">
      <c r="A49" s="11" t="s">
        <v>321</v>
      </c>
      <c r="B49" s="11" t="s">
        <v>36</v>
      </c>
      <c r="C49" s="11" t="s">
        <v>311</v>
      </c>
      <c r="D49" s="11" t="s">
        <v>322</v>
      </c>
      <c r="E49" s="12" t="s">
        <v>323</v>
      </c>
      <c r="F49" s="11" t="s">
        <v>324</v>
      </c>
      <c r="G49" s="11" t="s">
        <v>325</v>
      </c>
      <c r="H49" s="11" t="s">
        <v>326</v>
      </c>
      <c r="I49" s="11" t="s">
        <v>24</v>
      </c>
      <c r="J49" s="11" t="s">
        <v>68</v>
      </c>
      <c r="K49" s="13" t="s">
        <v>28</v>
      </c>
      <c r="L49" s="14"/>
      <c r="M49" s="13"/>
    </row>
    <row r="50" customFormat="false" ht="23.85" hidden="false" customHeight="false" outlineLevel="0" collapsed="false">
      <c r="A50" s="11" t="s">
        <v>327</v>
      </c>
      <c r="B50" s="11" t="s">
        <v>36</v>
      </c>
      <c r="C50" s="11" t="s">
        <v>311</v>
      </c>
      <c r="D50" s="11" t="s">
        <v>312</v>
      </c>
      <c r="E50" s="12" t="s">
        <v>328</v>
      </c>
      <c r="F50" s="11" t="s">
        <v>324</v>
      </c>
      <c r="G50" s="11" t="s">
        <v>329</v>
      </c>
      <c r="H50" s="11" t="s">
        <v>330</v>
      </c>
      <c r="I50" s="11" t="s">
        <v>98</v>
      </c>
      <c r="J50" s="11" t="s">
        <v>68</v>
      </c>
      <c r="K50" s="13" t="s">
        <v>28</v>
      </c>
      <c r="L50" s="14"/>
      <c r="M50" s="13"/>
    </row>
    <row r="51" customFormat="false" ht="23.85" hidden="false" customHeight="false" outlineLevel="0" collapsed="false">
      <c r="A51" s="11" t="s">
        <v>331</v>
      </c>
      <c r="B51" s="11" t="s">
        <v>36</v>
      </c>
      <c r="C51" s="11" t="s">
        <v>332</v>
      </c>
      <c r="D51" s="11" t="s">
        <v>107</v>
      </c>
      <c r="E51" s="12" t="s">
        <v>333</v>
      </c>
      <c r="F51" s="11" t="s">
        <v>334</v>
      </c>
      <c r="G51" s="11" t="s">
        <v>335</v>
      </c>
      <c r="H51" s="11" t="s">
        <v>336</v>
      </c>
      <c r="I51" s="11" t="s">
        <v>24</v>
      </c>
      <c r="J51" s="11" t="s">
        <v>68</v>
      </c>
      <c r="K51" s="13" t="s">
        <v>28</v>
      </c>
      <c r="L51" s="14"/>
      <c r="M51" s="13"/>
    </row>
    <row r="52" customFormat="false" ht="23.85" hidden="false" customHeight="false" outlineLevel="0" collapsed="false">
      <c r="A52" s="11" t="s">
        <v>337</v>
      </c>
      <c r="B52" s="11" t="s">
        <v>36</v>
      </c>
      <c r="C52" s="11" t="s">
        <v>332</v>
      </c>
      <c r="D52" s="11" t="s">
        <v>107</v>
      </c>
      <c r="E52" s="12" t="s">
        <v>338</v>
      </c>
      <c r="F52" s="11" t="s">
        <v>339</v>
      </c>
      <c r="G52" s="11" t="s">
        <v>340</v>
      </c>
      <c r="H52" s="11" t="s">
        <v>341</v>
      </c>
      <c r="I52" s="11" t="s">
        <v>24</v>
      </c>
      <c r="J52" s="11" t="s">
        <v>68</v>
      </c>
      <c r="K52" s="13" t="s">
        <v>28</v>
      </c>
      <c r="L52" s="14"/>
      <c r="M52" s="13"/>
    </row>
    <row r="53" customFormat="false" ht="23.85" hidden="false" customHeight="false" outlineLevel="0" collapsed="false">
      <c r="A53" s="11" t="s">
        <v>342</v>
      </c>
      <c r="B53" s="11" t="s">
        <v>36</v>
      </c>
      <c r="C53" s="11" t="s">
        <v>332</v>
      </c>
      <c r="D53" s="11" t="s">
        <v>107</v>
      </c>
      <c r="E53" s="12" t="s">
        <v>343</v>
      </c>
      <c r="F53" s="11" t="s">
        <v>344</v>
      </c>
      <c r="G53" s="11" t="s">
        <v>345</v>
      </c>
      <c r="H53" s="11" t="s">
        <v>346</v>
      </c>
      <c r="I53" s="11" t="s">
        <v>98</v>
      </c>
      <c r="J53" s="11" t="s">
        <v>68</v>
      </c>
      <c r="K53" s="13" t="s">
        <v>28</v>
      </c>
      <c r="L53" s="14"/>
      <c r="M53" s="13"/>
    </row>
    <row r="54" customFormat="false" ht="23.85" hidden="false" customHeight="false" outlineLevel="0" collapsed="false">
      <c r="A54" s="11" t="s">
        <v>347</v>
      </c>
      <c r="B54" s="11" t="s">
        <v>36</v>
      </c>
      <c r="C54" s="11" t="s">
        <v>332</v>
      </c>
      <c r="D54" s="11" t="s">
        <v>107</v>
      </c>
      <c r="E54" s="12" t="s">
        <v>348</v>
      </c>
      <c r="F54" s="11" t="s">
        <v>349</v>
      </c>
      <c r="G54" s="11" t="s">
        <v>350</v>
      </c>
      <c r="H54" s="11" t="s">
        <v>351</v>
      </c>
      <c r="I54" s="11" t="s">
        <v>24</v>
      </c>
      <c r="J54" s="11" t="s">
        <v>68</v>
      </c>
      <c r="K54" s="13" t="s">
        <v>28</v>
      </c>
      <c r="L54" s="14"/>
      <c r="M54" s="13"/>
    </row>
    <row r="55" customFormat="false" ht="23.85" hidden="false" customHeight="false" outlineLevel="0" collapsed="false">
      <c r="A55" s="11" t="s">
        <v>352</v>
      </c>
      <c r="B55" s="11" t="s">
        <v>36</v>
      </c>
      <c r="C55" s="11" t="s">
        <v>332</v>
      </c>
      <c r="D55" s="11" t="s">
        <v>151</v>
      </c>
      <c r="E55" s="12" t="s">
        <v>353</v>
      </c>
      <c r="F55" s="11" t="s">
        <v>354</v>
      </c>
      <c r="G55" s="11" t="s">
        <v>340</v>
      </c>
      <c r="H55" s="11" t="s">
        <v>355</v>
      </c>
      <c r="I55" s="11" t="s">
        <v>24</v>
      </c>
      <c r="J55" s="11" t="s">
        <v>68</v>
      </c>
      <c r="K55" s="13" t="s">
        <v>28</v>
      </c>
      <c r="L55" s="14"/>
      <c r="M55" s="13"/>
    </row>
    <row r="56" customFormat="false" ht="23.85" hidden="false" customHeight="false" outlineLevel="0" collapsed="false">
      <c r="A56" s="11" t="s">
        <v>356</v>
      </c>
      <c r="B56" s="11" t="s">
        <v>36</v>
      </c>
      <c r="C56" s="11" t="s">
        <v>332</v>
      </c>
      <c r="D56" s="11" t="s">
        <v>107</v>
      </c>
      <c r="E56" s="12" t="s">
        <v>357</v>
      </c>
      <c r="F56" s="11" t="s">
        <v>358</v>
      </c>
      <c r="G56" s="11" t="s">
        <v>359</v>
      </c>
      <c r="H56" s="11" t="s">
        <v>360</v>
      </c>
      <c r="I56" s="11" t="s">
        <v>24</v>
      </c>
      <c r="J56" s="11" t="s">
        <v>68</v>
      </c>
      <c r="K56" s="13" t="s">
        <v>28</v>
      </c>
      <c r="L56" s="14"/>
      <c r="M56" s="13"/>
    </row>
    <row r="57" customFormat="false" ht="23.85" hidden="false" customHeight="false" outlineLevel="0" collapsed="false">
      <c r="A57" s="11" t="s">
        <v>361</v>
      </c>
      <c r="B57" s="11" t="s">
        <v>36</v>
      </c>
      <c r="C57" s="11" t="s">
        <v>332</v>
      </c>
      <c r="D57" s="11" t="s">
        <v>362</v>
      </c>
      <c r="E57" s="12" t="s">
        <v>363</v>
      </c>
      <c r="F57" s="11" t="s">
        <v>364</v>
      </c>
      <c r="G57" s="11" t="s">
        <v>365</v>
      </c>
      <c r="H57" s="11" t="s">
        <v>366</v>
      </c>
      <c r="I57" s="11" t="s">
        <v>98</v>
      </c>
      <c r="J57" s="11" t="s">
        <v>68</v>
      </c>
      <c r="K57" s="13" t="s">
        <v>28</v>
      </c>
      <c r="L57" s="14"/>
      <c r="M57" s="13"/>
    </row>
    <row r="58" customFormat="false" ht="15" hidden="false" customHeight="false" outlineLevel="0" collapsed="false">
      <c r="A58" s="11" t="s">
        <v>367</v>
      </c>
      <c r="B58" s="11" t="s">
        <v>36</v>
      </c>
      <c r="C58" s="11" t="s">
        <v>332</v>
      </c>
      <c r="D58" s="11" t="s">
        <v>107</v>
      </c>
      <c r="E58" s="12" t="s">
        <v>368</v>
      </c>
      <c r="F58" s="11" t="s">
        <v>369</v>
      </c>
      <c r="G58" s="11" t="s">
        <v>370</v>
      </c>
      <c r="H58" s="11" t="s">
        <v>371</v>
      </c>
      <c r="I58" s="11" t="s">
        <v>24</v>
      </c>
      <c r="J58" s="11" t="s">
        <v>68</v>
      </c>
      <c r="K58" s="13" t="s">
        <v>28</v>
      </c>
      <c r="L58" s="14"/>
      <c r="M58" s="13"/>
    </row>
    <row r="59" customFormat="false" ht="23.85" hidden="false" customHeight="false" outlineLevel="0" collapsed="false">
      <c r="A59" s="11" t="s">
        <v>372</v>
      </c>
      <c r="B59" s="11" t="s">
        <v>36</v>
      </c>
      <c r="C59" s="11" t="s">
        <v>332</v>
      </c>
      <c r="D59" s="11" t="s">
        <v>107</v>
      </c>
      <c r="E59" s="12" t="s">
        <v>373</v>
      </c>
      <c r="F59" s="11" t="s">
        <v>374</v>
      </c>
      <c r="G59" s="11" t="s">
        <v>375</v>
      </c>
      <c r="H59" s="11" t="s">
        <v>376</v>
      </c>
      <c r="I59" s="11" t="s">
        <v>98</v>
      </c>
      <c r="J59" s="11" t="s">
        <v>68</v>
      </c>
      <c r="K59" s="13" t="s">
        <v>28</v>
      </c>
      <c r="L59" s="14"/>
      <c r="M59" s="13"/>
    </row>
    <row r="60" customFormat="false" ht="23.85" hidden="false" customHeight="false" outlineLevel="0" collapsed="false">
      <c r="A60" s="11" t="s">
        <v>377</v>
      </c>
      <c r="B60" s="11" t="s">
        <v>36</v>
      </c>
      <c r="C60" s="11" t="s">
        <v>229</v>
      </c>
      <c r="D60" s="11" t="s">
        <v>230</v>
      </c>
      <c r="E60" s="12" t="s">
        <v>378</v>
      </c>
      <c r="F60" s="11" t="s">
        <v>232</v>
      </c>
      <c r="G60" s="11" t="s">
        <v>379</v>
      </c>
      <c r="H60" s="11" t="s">
        <v>380</v>
      </c>
      <c r="I60" s="11" t="s">
        <v>24</v>
      </c>
      <c r="J60" s="11" t="s">
        <v>118</v>
      </c>
      <c r="K60" s="13" t="s">
        <v>28</v>
      </c>
      <c r="L60" s="14"/>
      <c r="M60" s="13"/>
    </row>
    <row r="61" customFormat="false" ht="23.85" hidden="false" customHeight="false" outlineLevel="0" collapsed="false">
      <c r="A61" s="11" t="s">
        <v>381</v>
      </c>
      <c r="B61" s="11" t="s">
        <v>36</v>
      </c>
      <c r="C61" s="11" t="s">
        <v>229</v>
      </c>
      <c r="D61" s="11" t="s">
        <v>230</v>
      </c>
      <c r="E61" s="12" t="s">
        <v>382</v>
      </c>
      <c r="F61" s="11" t="s">
        <v>383</v>
      </c>
      <c r="G61" s="11" t="s">
        <v>384</v>
      </c>
      <c r="H61" s="11" t="s">
        <v>385</v>
      </c>
      <c r="I61" s="11" t="s">
        <v>98</v>
      </c>
      <c r="J61" s="11" t="s">
        <v>118</v>
      </c>
      <c r="K61" s="13" t="s">
        <v>28</v>
      </c>
      <c r="L61" s="14"/>
      <c r="M61" s="13"/>
    </row>
    <row r="62" customFormat="false" ht="23.85" hidden="false" customHeight="false" outlineLevel="0" collapsed="false">
      <c r="A62" s="11" t="s">
        <v>386</v>
      </c>
      <c r="B62" s="11" t="s">
        <v>38</v>
      </c>
      <c r="C62" s="11" t="s">
        <v>387</v>
      </c>
      <c r="D62" s="11" t="s">
        <v>107</v>
      </c>
      <c r="E62" s="12" t="s">
        <v>388</v>
      </c>
      <c r="F62" s="11" t="s">
        <v>389</v>
      </c>
      <c r="G62" s="11" t="s">
        <v>390</v>
      </c>
      <c r="H62" s="11" t="s">
        <v>391</v>
      </c>
      <c r="I62" s="11" t="s">
        <v>24</v>
      </c>
      <c r="J62" s="11" t="s">
        <v>68</v>
      </c>
      <c r="K62" s="13" t="s">
        <v>28</v>
      </c>
      <c r="L62" s="14"/>
      <c r="M62" s="13"/>
    </row>
    <row r="63" customFormat="false" ht="23.85" hidden="false" customHeight="false" outlineLevel="0" collapsed="false">
      <c r="A63" s="11" t="s">
        <v>392</v>
      </c>
      <c r="B63" s="11" t="s">
        <v>38</v>
      </c>
      <c r="C63" s="11" t="s">
        <v>387</v>
      </c>
      <c r="D63" s="11" t="s">
        <v>107</v>
      </c>
      <c r="E63" s="12" t="s">
        <v>393</v>
      </c>
      <c r="F63" s="11" t="s">
        <v>394</v>
      </c>
      <c r="G63" s="11" t="s">
        <v>395</v>
      </c>
      <c r="H63" s="11" t="s">
        <v>396</v>
      </c>
      <c r="I63" s="11" t="s">
        <v>24</v>
      </c>
      <c r="J63" s="11" t="s">
        <v>68</v>
      </c>
      <c r="K63" s="13" t="s">
        <v>28</v>
      </c>
      <c r="L63" s="14"/>
      <c r="M63" s="13"/>
    </row>
    <row r="64" customFormat="false" ht="23.85" hidden="false" customHeight="false" outlineLevel="0" collapsed="false">
      <c r="A64" s="11" t="s">
        <v>397</v>
      </c>
      <c r="B64" s="11" t="s">
        <v>38</v>
      </c>
      <c r="C64" s="11" t="s">
        <v>387</v>
      </c>
      <c r="D64" s="11" t="s">
        <v>107</v>
      </c>
      <c r="E64" s="12" t="s">
        <v>398</v>
      </c>
      <c r="F64" s="11" t="s">
        <v>399</v>
      </c>
      <c r="G64" s="11" t="s">
        <v>400</v>
      </c>
      <c r="H64" s="11" t="s">
        <v>401</v>
      </c>
      <c r="I64" s="11" t="s">
        <v>24</v>
      </c>
      <c r="J64" s="11" t="s">
        <v>68</v>
      </c>
      <c r="K64" s="13" t="s">
        <v>28</v>
      </c>
      <c r="L64" s="14"/>
      <c r="M64" s="13"/>
    </row>
    <row r="65" customFormat="false" ht="23.85" hidden="false" customHeight="false" outlineLevel="0" collapsed="false">
      <c r="A65" s="11" t="s">
        <v>402</v>
      </c>
      <c r="B65" s="11" t="s">
        <v>38</v>
      </c>
      <c r="C65" s="11" t="s">
        <v>387</v>
      </c>
      <c r="D65" s="11" t="s">
        <v>151</v>
      </c>
      <c r="E65" s="12" t="s">
        <v>403</v>
      </c>
      <c r="F65" s="11" t="s">
        <v>404</v>
      </c>
      <c r="G65" s="11" t="s">
        <v>405</v>
      </c>
      <c r="H65" s="11" t="s">
        <v>406</v>
      </c>
      <c r="I65" s="11" t="s">
        <v>24</v>
      </c>
      <c r="J65" s="11" t="s">
        <v>68</v>
      </c>
      <c r="K65" s="13" t="s">
        <v>28</v>
      </c>
      <c r="L65" s="14"/>
      <c r="M65" s="13"/>
    </row>
    <row r="66" customFormat="false" ht="23.85" hidden="false" customHeight="false" outlineLevel="0" collapsed="false">
      <c r="A66" s="11" t="s">
        <v>407</v>
      </c>
      <c r="B66" s="11" t="s">
        <v>38</v>
      </c>
      <c r="C66" s="11" t="s">
        <v>387</v>
      </c>
      <c r="D66" s="11" t="s">
        <v>140</v>
      </c>
      <c r="E66" s="12" t="s">
        <v>408</v>
      </c>
      <c r="F66" s="11" t="s">
        <v>409</v>
      </c>
      <c r="G66" s="11" t="s">
        <v>410</v>
      </c>
      <c r="H66" s="11" t="s">
        <v>411</v>
      </c>
      <c r="I66" s="11" t="s">
        <v>24</v>
      </c>
      <c r="J66" s="11" t="s">
        <v>68</v>
      </c>
      <c r="K66" s="13" t="s">
        <v>28</v>
      </c>
      <c r="L66" s="14"/>
      <c r="M66" s="13"/>
    </row>
    <row r="67" customFormat="false" ht="23.85" hidden="false" customHeight="false" outlineLevel="0" collapsed="false">
      <c r="A67" s="11" t="s">
        <v>412</v>
      </c>
      <c r="B67" s="11" t="s">
        <v>38</v>
      </c>
      <c r="C67" s="11" t="s">
        <v>387</v>
      </c>
      <c r="D67" s="11" t="s">
        <v>107</v>
      </c>
      <c r="E67" s="12" t="s">
        <v>413</v>
      </c>
      <c r="F67" s="11" t="s">
        <v>414</v>
      </c>
      <c r="G67" s="11" t="s">
        <v>415</v>
      </c>
      <c r="H67" s="11" t="s">
        <v>416</v>
      </c>
      <c r="I67" s="11" t="s">
        <v>24</v>
      </c>
      <c r="J67" s="11" t="s">
        <v>68</v>
      </c>
      <c r="K67" s="13" t="s">
        <v>28</v>
      </c>
      <c r="L67" s="14"/>
      <c r="M67" s="13"/>
    </row>
    <row r="68" customFormat="false" ht="23.85" hidden="false" customHeight="false" outlineLevel="0" collapsed="false">
      <c r="A68" s="11" t="s">
        <v>417</v>
      </c>
      <c r="B68" s="11" t="s">
        <v>38</v>
      </c>
      <c r="C68" s="11" t="s">
        <v>387</v>
      </c>
      <c r="D68" s="11" t="s">
        <v>107</v>
      </c>
      <c r="E68" s="12" t="s">
        <v>418</v>
      </c>
      <c r="F68" s="11" t="s">
        <v>419</v>
      </c>
      <c r="G68" s="11" t="s">
        <v>420</v>
      </c>
      <c r="H68" s="11" t="s">
        <v>421</v>
      </c>
      <c r="I68" s="11" t="s">
        <v>24</v>
      </c>
      <c r="J68" s="11" t="s">
        <v>68</v>
      </c>
      <c r="K68" s="13" t="s">
        <v>28</v>
      </c>
      <c r="L68" s="14"/>
      <c r="M68" s="13"/>
    </row>
    <row r="69" customFormat="false" ht="23.85" hidden="false" customHeight="false" outlineLevel="0" collapsed="false">
      <c r="A69" s="11" t="s">
        <v>422</v>
      </c>
      <c r="B69" s="11" t="s">
        <v>38</v>
      </c>
      <c r="C69" s="11" t="s">
        <v>387</v>
      </c>
      <c r="D69" s="11" t="s">
        <v>107</v>
      </c>
      <c r="E69" s="12" t="s">
        <v>423</v>
      </c>
      <c r="F69" s="11" t="s">
        <v>424</v>
      </c>
      <c r="G69" s="11" t="s">
        <v>425</v>
      </c>
      <c r="H69" s="11" t="s">
        <v>426</v>
      </c>
      <c r="I69" s="11" t="s">
        <v>24</v>
      </c>
      <c r="J69" s="11" t="s">
        <v>68</v>
      </c>
      <c r="K69" s="13" t="s">
        <v>28</v>
      </c>
      <c r="L69" s="14"/>
      <c r="M69" s="13"/>
    </row>
    <row r="70" customFormat="false" ht="23.85" hidden="false" customHeight="false" outlineLevel="0" collapsed="false">
      <c r="A70" s="11" t="s">
        <v>427</v>
      </c>
      <c r="B70" s="11" t="s">
        <v>38</v>
      </c>
      <c r="C70" s="11" t="s">
        <v>387</v>
      </c>
      <c r="D70" s="11" t="s">
        <v>107</v>
      </c>
      <c r="E70" s="12" t="s">
        <v>428</v>
      </c>
      <c r="F70" s="11" t="s">
        <v>429</v>
      </c>
      <c r="G70" s="11" t="s">
        <v>430</v>
      </c>
      <c r="H70" s="11" t="s">
        <v>431</v>
      </c>
      <c r="I70" s="11" t="s">
        <v>24</v>
      </c>
      <c r="J70" s="11" t="s">
        <v>68</v>
      </c>
      <c r="K70" s="13" t="s">
        <v>28</v>
      </c>
      <c r="L70" s="14"/>
      <c r="M70" s="13"/>
    </row>
    <row r="71" customFormat="false" ht="23.85" hidden="false" customHeight="false" outlineLevel="0" collapsed="false">
      <c r="A71" s="11" t="s">
        <v>432</v>
      </c>
      <c r="B71" s="11" t="s">
        <v>38</v>
      </c>
      <c r="C71" s="11" t="s">
        <v>387</v>
      </c>
      <c r="D71" s="11" t="s">
        <v>107</v>
      </c>
      <c r="E71" s="12" t="s">
        <v>433</v>
      </c>
      <c r="F71" s="11" t="s">
        <v>414</v>
      </c>
      <c r="G71" s="11" t="s">
        <v>434</v>
      </c>
      <c r="H71" s="11" t="s">
        <v>435</v>
      </c>
      <c r="I71" s="11" t="s">
        <v>24</v>
      </c>
      <c r="J71" s="11" t="s">
        <v>68</v>
      </c>
      <c r="K71" s="13" t="s">
        <v>28</v>
      </c>
      <c r="L71" s="14"/>
      <c r="M71" s="13"/>
    </row>
    <row r="72" customFormat="false" ht="23.85" hidden="false" customHeight="false" outlineLevel="0" collapsed="false">
      <c r="A72" s="11" t="s">
        <v>436</v>
      </c>
      <c r="B72" s="11" t="s">
        <v>38</v>
      </c>
      <c r="C72" s="11" t="s">
        <v>387</v>
      </c>
      <c r="D72" s="11" t="s">
        <v>437</v>
      </c>
      <c r="E72" s="12" t="s">
        <v>438</v>
      </c>
      <c r="F72" s="11" t="s">
        <v>414</v>
      </c>
      <c r="G72" s="11" t="s">
        <v>439</v>
      </c>
      <c r="H72" s="11" t="s">
        <v>440</v>
      </c>
      <c r="I72" s="11" t="s">
        <v>24</v>
      </c>
      <c r="J72" s="11" t="s">
        <v>68</v>
      </c>
      <c r="K72" s="13" t="s">
        <v>28</v>
      </c>
      <c r="L72" s="14"/>
      <c r="M72" s="13"/>
    </row>
    <row r="73" customFormat="false" ht="23.85" hidden="false" customHeight="false" outlineLevel="0" collapsed="false">
      <c r="A73" s="11" t="s">
        <v>441</v>
      </c>
      <c r="B73" s="11" t="s">
        <v>38</v>
      </c>
      <c r="C73" s="11" t="s">
        <v>387</v>
      </c>
      <c r="D73" s="11" t="s">
        <v>107</v>
      </c>
      <c r="E73" s="12" t="s">
        <v>442</v>
      </c>
      <c r="F73" s="11" t="s">
        <v>443</v>
      </c>
      <c r="G73" s="11" t="s">
        <v>444</v>
      </c>
      <c r="H73" s="11" t="s">
        <v>445</v>
      </c>
      <c r="I73" s="11" t="s">
        <v>24</v>
      </c>
      <c r="J73" s="11" t="s">
        <v>68</v>
      </c>
      <c r="K73" s="13" t="s">
        <v>28</v>
      </c>
      <c r="L73" s="14"/>
      <c r="M73" s="13"/>
    </row>
    <row r="74" customFormat="false" ht="23.85" hidden="false" customHeight="false" outlineLevel="0" collapsed="false">
      <c r="A74" s="11" t="s">
        <v>446</v>
      </c>
      <c r="B74" s="11" t="s">
        <v>38</v>
      </c>
      <c r="C74" s="11" t="s">
        <v>387</v>
      </c>
      <c r="D74" s="11" t="s">
        <v>107</v>
      </c>
      <c r="E74" s="12" t="s">
        <v>447</v>
      </c>
      <c r="F74" s="11" t="s">
        <v>448</v>
      </c>
      <c r="G74" s="11" t="s">
        <v>449</v>
      </c>
      <c r="H74" s="11" t="s">
        <v>450</v>
      </c>
      <c r="I74" s="11" t="s">
        <v>24</v>
      </c>
      <c r="J74" s="11" t="s">
        <v>68</v>
      </c>
      <c r="K74" s="13" t="s">
        <v>28</v>
      </c>
      <c r="L74" s="14"/>
      <c r="M74" s="13"/>
    </row>
    <row r="75" customFormat="false" ht="23.85" hidden="false" customHeight="false" outlineLevel="0" collapsed="false">
      <c r="A75" s="11" t="s">
        <v>451</v>
      </c>
      <c r="B75" s="11" t="s">
        <v>38</v>
      </c>
      <c r="C75" s="11" t="s">
        <v>387</v>
      </c>
      <c r="D75" s="11" t="s">
        <v>107</v>
      </c>
      <c r="E75" s="12" t="s">
        <v>452</v>
      </c>
      <c r="F75" s="11" t="s">
        <v>453</v>
      </c>
      <c r="G75" s="11" t="s">
        <v>454</v>
      </c>
      <c r="H75" s="11" t="s">
        <v>455</v>
      </c>
      <c r="I75" s="11" t="s">
        <v>98</v>
      </c>
      <c r="J75" s="11" t="s">
        <v>68</v>
      </c>
      <c r="K75" s="13" t="s">
        <v>28</v>
      </c>
      <c r="L75" s="14"/>
      <c r="M75" s="13"/>
    </row>
    <row r="76" customFormat="false" ht="23.85" hidden="false" customHeight="false" outlineLevel="0" collapsed="false">
      <c r="A76" s="11" t="s">
        <v>456</v>
      </c>
      <c r="B76" s="11" t="s">
        <v>38</v>
      </c>
      <c r="C76" s="11" t="s">
        <v>387</v>
      </c>
      <c r="D76" s="11" t="s">
        <v>107</v>
      </c>
      <c r="E76" s="12" t="s">
        <v>457</v>
      </c>
      <c r="F76" s="11" t="s">
        <v>458</v>
      </c>
      <c r="G76" s="11" t="s">
        <v>459</v>
      </c>
      <c r="H76" s="11" t="s">
        <v>460</v>
      </c>
      <c r="I76" s="11" t="s">
        <v>98</v>
      </c>
      <c r="J76" s="11" t="s">
        <v>68</v>
      </c>
      <c r="K76" s="13" t="s">
        <v>28</v>
      </c>
      <c r="L76" s="14"/>
      <c r="M76" s="13"/>
    </row>
    <row r="77" customFormat="false" ht="15" hidden="false" customHeight="false" outlineLevel="0" collapsed="false">
      <c r="A77" s="11" t="s">
        <v>461</v>
      </c>
      <c r="B77" s="11" t="s">
        <v>38</v>
      </c>
      <c r="C77" s="11" t="s">
        <v>387</v>
      </c>
      <c r="D77" s="11" t="s">
        <v>107</v>
      </c>
      <c r="E77" s="12" t="s">
        <v>462</v>
      </c>
      <c r="F77" s="11" t="s">
        <v>463</v>
      </c>
      <c r="G77" s="11" t="s">
        <v>464</v>
      </c>
      <c r="H77" s="11" t="s">
        <v>465</v>
      </c>
      <c r="I77" s="11" t="s">
        <v>98</v>
      </c>
      <c r="J77" s="11" t="s">
        <v>68</v>
      </c>
      <c r="K77" s="13" t="s">
        <v>28</v>
      </c>
      <c r="L77" s="14"/>
      <c r="M77" s="13"/>
    </row>
    <row r="78" customFormat="false" ht="15" hidden="false" customHeight="false" outlineLevel="0" collapsed="false">
      <c r="A78" s="11" t="s">
        <v>466</v>
      </c>
      <c r="B78" s="11" t="s">
        <v>38</v>
      </c>
      <c r="C78" s="11" t="s">
        <v>387</v>
      </c>
      <c r="D78" s="11" t="s">
        <v>467</v>
      </c>
      <c r="E78" s="12" t="s">
        <v>468</v>
      </c>
      <c r="F78" s="11" t="s">
        <v>469</v>
      </c>
      <c r="G78" s="11" t="s">
        <v>470</v>
      </c>
      <c r="H78" s="11" t="s">
        <v>471</v>
      </c>
      <c r="I78" s="11" t="s">
        <v>24</v>
      </c>
      <c r="J78" s="11" t="s">
        <v>68</v>
      </c>
      <c r="K78" s="13" t="s">
        <v>28</v>
      </c>
      <c r="L78" s="14"/>
      <c r="M78" s="13"/>
    </row>
    <row r="79" customFormat="false" ht="23.85" hidden="false" customHeight="false" outlineLevel="0" collapsed="false">
      <c r="A79" s="11" t="s">
        <v>472</v>
      </c>
      <c r="B79" s="11" t="s">
        <v>38</v>
      </c>
      <c r="C79" s="11" t="s">
        <v>332</v>
      </c>
      <c r="D79" s="11" t="s">
        <v>107</v>
      </c>
      <c r="E79" s="12" t="s">
        <v>473</v>
      </c>
      <c r="F79" s="11" t="s">
        <v>474</v>
      </c>
      <c r="G79" s="11" t="s">
        <v>475</v>
      </c>
      <c r="H79" s="11" t="s">
        <v>476</v>
      </c>
      <c r="I79" s="11" t="s">
        <v>24</v>
      </c>
      <c r="J79" s="11" t="s">
        <v>68</v>
      </c>
      <c r="K79" s="13" t="s">
        <v>28</v>
      </c>
      <c r="L79" s="14"/>
      <c r="M79" s="13"/>
    </row>
    <row r="80" customFormat="false" ht="23.85" hidden="false" customHeight="false" outlineLevel="0" collapsed="false">
      <c r="A80" s="11" t="s">
        <v>477</v>
      </c>
      <c r="B80" s="11" t="s">
        <v>38</v>
      </c>
      <c r="C80" s="11" t="s">
        <v>332</v>
      </c>
      <c r="D80" s="11" t="s">
        <v>107</v>
      </c>
      <c r="E80" s="12" t="s">
        <v>478</v>
      </c>
      <c r="F80" s="11" t="s">
        <v>479</v>
      </c>
      <c r="G80" s="11" t="s">
        <v>480</v>
      </c>
      <c r="H80" s="11" t="s">
        <v>481</v>
      </c>
      <c r="I80" s="11" t="s">
        <v>24</v>
      </c>
      <c r="J80" s="11" t="s">
        <v>68</v>
      </c>
      <c r="K80" s="13" t="s">
        <v>28</v>
      </c>
      <c r="L80" s="14"/>
      <c r="M80" s="13"/>
    </row>
    <row r="81" customFormat="false" ht="23.85" hidden="false" customHeight="false" outlineLevel="0" collapsed="false">
      <c r="A81" s="11" t="s">
        <v>482</v>
      </c>
      <c r="B81" s="11" t="s">
        <v>38</v>
      </c>
      <c r="C81" s="11" t="s">
        <v>387</v>
      </c>
      <c r="D81" s="11" t="s">
        <v>107</v>
      </c>
      <c r="E81" s="12" t="s">
        <v>483</v>
      </c>
      <c r="F81" s="11" t="s">
        <v>484</v>
      </c>
      <c r="G81" s="11" t="s">
        <v>485</v>
      </c>
      <c r="H81" s="11" t="s">
        <v>486</v>
      </c>
      <c r="I81" s="11" t="s">
        <v>98</v>
      </c>
      <c r="J81" s="11" t="s">
        <v>68</v>
      </c>
      <c r="K81" s="13" t="s">
        <v>28</v>
      </c>
      <c r="L81" s="14"/>
      <c r="M81" s="13"/>
    </row>
    <row r="82" customFormat="false" ht="23.85" hidden="false" customHeight="false" outlineLevel="0" collapsed="false">
      <c r="A82" s="11" t="s">
        <v>487</v>
      </c>
      <c r="B82" s="11" t="s">
        <v>38</v>
      </c>
      <c r="C82" s="11" t="s">
        <v>387</v>
      </c>
      <c r="D82" s="11" t="s">
        <v>107</v>
      </c>
      <c r="E82" s="12" t="s">
        <v>488</v>
      </c>
      <c r="F82" s="11" t="s">
        <v>489</v>
      </c>
      <c r="G82" s="11" t="s">
        <v>490</v>
      </c>
      <c r="H82" s="11" t="s">
        <v>491</v>
      </c>
      <c r="I82" s="11" t="s">
        <v>98</v>
      </c>
      <c r="J82" s="11" t="s">
        <v>68</v>
      </c>
      <c r="K82" s="13" t="s">
        <v>28</v>
      </c>
      <c r="L82" s="14"/>
      <c r="M82" s="13"/>
    </row>
    <row r="83" customFormat="false" ht="23.85" hidden="false" customHeight="false" outlineLevel="0" collapsed="false">
      <c r="A83" s="11" t="s">
        <v>492</v>
      </c>
      <c r="B83" s="11" t="s">
        <v>38</v>
      </c>
      <c r="C83" s="11" t="s">
        <v>229</v>
      </c>
      <c r="D83" s="11" t="s">
        <v>230</v>
      </c>
      <c r="E83" s="12" t="s">
        <v>493</v>
      </c>
      <c r="F83" s="11" t="s">
        <v>494</v>
      </c>
      <c r="G83" s="11" t="s">
        <v>420</v>
      </c>
      <c r="H83" s="11" t="s">
        <v>495</v>
      </c>
      <c r="I83" s="11" t="s">
        <v>24</v>
      </c>
      <c r="J83" s="11" t="s">
        <v>118</v>
      </c>
      <c r="K83" s="13" t="s">
        <v>28</v>
      </c>
      <c r="L83" s="14"/>
      <c r="M83" s="13"/>
    </row>
    <row r="84" customFormat="false" ht="23.85" hidden="false" customHeight="false" outlineLevel="0" collapsed="false">
      <c r="A84" s="11" t="s">
        <v>496</v>
      </c>
      <c r="B84" s="11" t="s">
        <v>40</v>
      </c>
      <c r="C84" s="11" t="s">
        <v>497</v>
      </c>
      <c r="D84" s="11" t="s">
        <v>223</v>
      </c>
      <c r="E84" s="12" t="s">
        <v>498</v>
      </c>
      <c r="F84" s="11" t="s">
        <v>499</v>
      </c>
      <c r="G84" s="11" t="s">
        <v>143</v>
      </c>
      <c r="H84" s="11" t="s">
        <v>500</v>
      </c>
      <c r="I84" s="11" t="s">
        <v>24</v>
      </c>
      <c r="J84" s="11" t="s">
        <v>68</v>
      </c>
      <c r="K84" s="13" t="s">
        <v>28</v>
      </c>
      <c r="L84" s="14"/>
      <c r="M84" s="13"/>
    </row>
    <row r="85" customFormat="false" ht="23.85" hidden="false" customHeight="false" outlineLevel="0" collapsed="false">
      <c r="A85" s="11" t="s">
        <v>501</v>
      </c>
      <c r="B85" s="11" t="s">
        <v>40</v>
      </c>
      <c r="C85" s="11" t="s">
        <v>497</v>
      </c>
      <c r="D85" s="11" t="s">
        <v>223</v>
      </c>
      <c r="E85" s="12" t="s">
        <v>502</v>
      </c>
      <c r="F85" s="11" t="s">
        <v>503</v>
      </c>
      <c r="G85" s="11" t="s">
        <v>504</v>
      </c>
      <c r="H85" s="11" t="s">
        <v>505</v>
      </c>
      <c r="I85" s="11" t="s">
        <v>24</v>
      </c>
      <c r="J85" s="11" t="s">
        <v>68</v>
      </c>
      <c r="K85" s="13" t="s">
        <v>28</v>
      </c>
      <c r="L85" s="14"/>
      <c r="M85" s="13"/>
    </row>
    <row r="86" customFormat="false" ht="23.85" hidden="false" customHeight="false" outlineLevel="0" collapsed="false">
      <c r="A86" s="11" t="s">
        <v>506</v>
      </c>
      <c r="B86" s="11" t="s">
        <v>40</v>
      </c>
      <c r="C86" s="11" t="s">
        <v>497</v>
      </c>
      <c r="D86" s="11" t="s">
        <v>223</v>
      </c>
      <c r="E86" s="12" t="s">
        <v>507</v>
      </c>
      <c r="F86" s="11" t="s">
        <v>508</v>
      </c>
      <c r="G86" s="11" t="s">
        <v>509</v>
      </c>
      <c r="H86" s="11" t="s">
        <v>510</v>
      </c>
      <c r="I86" s="11" t="s">
        <v>24</v>
      </c>
      <c r="J86" s="11" t="s">
        <v>68</v>
      </c>
      <c r="K86" s="13" t="s">
        <v>28</v>
      </c>
      <c r="L86" s="14"/>
      <c r="M86" s="13"/>
    </row>
    <row r="87" customFormat="false" ht="23.85" hidden="false" customHeight="false" outlineLevel="0" collapsed="false">
      <c r="A87" s="11" t="s">
        <v>511</v>
      </c>
      <c r="B87" s="11" t="s">
        <v>40</v>
      </c>
      <c r="C87" s="11" t="s">
        <v>497</v>
      </c>
      <c r="D87" s="11" t="s">
        <v>223</v>
      </c>
      <c r="E87" s="12" t="s">
        <v>512</v>
      </c>
      <c r="F87" s="11" t="s">
        <v>513</v>
      </c>
      <c r="G87" s="11" t="s">
        <v>514</v>
      </c>
      <c r="H87" s="11" t="s">
        <v>515</v>
      </c>
      <c r="I87" s="11" t="s">
        <v>24</v>
      </c>
      <c r="J87" s="11" t="s">
        <v>68</v>
      </c>
      <c r="K87" s="13" t="s">
        <v>28</v>
      </c>
      <c r="L87" s="14"/>
      <c r="M87" s="13"/>
    </row>
    <row r="88" customFormat="false" ht="23.85" hidden="false" customHeight="false" outlineLevel="0" collapsed="false">
      <c r="A88" s="11" t="s">
        <v>516</v>
      </c>
      <c r="B88" s="11" t="s">
        <v>40</v>
      </c>
      <c r="C88" s="11" t="s">
        <v>497</v>
      </c>
      <c r="D88" s="11" t="s">
        <v>223</v>
      </c>
      <c r="E88" s="12" t="s">
        <v>517</v>
      </c>
      <c r="F88" s="11" t="s">
        <v>518</v>
      </c>
      <c r="G88" s="11" t="s">
        <v>519</v>
      </c>
      <c r="H88" s="11" t="s">
        <v>520</v>
      </c>
      <c r="I88" s="11" t="s">
        <v>24</v>
      </c>
      <c r="J88" s="11" t="s">
        <v>68</v>
      </c>
      <c r="K88" s="13" t="s">
        <v>28</v>
      </c>
      <c r="L88" s="14"/>
      <c r="M88" s="13"/>
    </row>
    <row r="89" customFormat="false" ht="23.85" hidden="false" customHeight="false" outlineLevel="0" collapsed="false">
      <c r="A89" s="11" t="s">
        <v>521</v>
      </c>
      <c r="B89" s="11" t="s">
        <v>40</v>
      </c>
      <c r="C89" s="11" t="s">
        <v>522</v>
      </c>
      <c r="D89" s="11" t="s">
        <v>223</v>
      </c>
      <c r="E89" s="12" t="s">
        <v>523</v>
      </c>
      <c r="F89" s="11" t="s">
        <v>524</v>
      </c>
      <c r="G89" s="11" t="s">
        <v>525</v>
      </c>
      <c r="H89" s="11" t="s">
        <v>526</v>
      </c>
      <c r="I89" s="11" t="s">
        <v>24</v>
      </c>
      <c r="J89" s="11" t="s">
        <v>68</v>
      </c>
      <c r="K89" s="13" t="s">
        <v>28</v>
      </c>
      <c r="L89" s="14"/>
      <c r="M89" s="13"/>
    </row>
    <row r="90" customFormat="false" ht="23.85" hidden="false" customHeight="false" outlineLevel="0" collapsed="false">
      <c r="A90" s="11" t="s">
        <v>527</v>
      </c>
      <c r="B90" s="11" t="s">
        <v>40</v>
      </c>
      <c r="C90" s="11" t="s">
        <v>522</v>
      </c>
      <c r="D90" s="11" t="s">
        <v>223</v>
      </c>
      <c r="E90" s="12" t="s">
        <v>528</v>
      </c>
      <c r="F90" s="11" t="s">
        <v>529</v>
      </c>
      <c r="G90" s="11" t="s">
        <v>154</v>
      </c>
      <c r="H90" s="11" t="s">
        <v>530</v>
      </c>
      <c r="I90" s="11" t="s">
        <v>24</v>
      </c>
      <c r="J90" s="11" t="s">
        <v>68</v>
      </c>
      <c r="K90" s="13" t="s">
        <v>28</v>
      </c>
      <c r="L90" s="14"/>
      <c r="M90" s="13"/>
    </row>
    <row r="91" customFormat="false" ht="23.85" hidden="false" customHeight="false" outlineLevel="0" collapsed="false">
      <c r="A91" s="11" t="s">
        <v>531</v>
      </c>
      <c r="B91" s="11" t="s">
        <v>40</v>
      </c>
      <c r="C91" s="11" t="s">
        <v>522</v>
      </c>
      <c r="D91" s="11" t="s">
        <v>223</v>
      </c>
      <c r="E91" s="12" t="s">
        <v>532</v>
      </c>
      <c r="F91" s="11" t="s">
        <v>533</v>
      </c>
      <c r="G91" s="11" t="s">
        <v>534</v>
      </c>
      <c r="H91" s="11" t="s">
        <v>535</v>
      </c>
      <c r="I91" s="11" t="s">
        <v>98</v>
      </c>
      <c r="J91" s="11" t="s">
        <v>68</v>
      </c>
      <c r="K91" s="13" t="s">
        <v>28</v>
      </c>
      <c r="L91" s="14"/>
      <c r="M91" s="13"/>
    </row>
    <row r="92" customFormat="false" ht="23.85" hidden="false" customHeight="false" outlineLevel="0" collapsed="false">
      <c r="A92" s="11" t="s">
        <v>536</v>
      </c>
      <c r="B92" s="11" t="s">
        <v>40</v>
      </c>
      <c r="C92" s="11" t="s">
        <v>522</v>
      </c>
      <c r="D92" s="11" t="s">
        <v>223</v>
      </c>
      <c r="E92" s="12" t="s">
        <v>537</v>
      </c>
      <c r="F92" s="11" t="s">
        <v>538</v>
      </c>
      <c r="G92" s="11" t="s">
        <v>539</v>
      </c>
      <c r="H92" s="11" t="s">
        <v>540</v>
      </c>
      <c r="I92" s="11" t="s">
        <v>98</v>
      </c>
      <c r="J92" s="11" t="s">
        <v>68</v>
      </c>
      <c r="K92" s="13" t="s">
        <v>28</v>
      </c>
      <c r="L92" s="14"/>
      <c r="M92" s="13"/>
    </row>
    <row r="93" customFormat="false" ht="15" hidden="false" customHeight="false" outlineLevel="0" collapsed="false">
      <c r="A93" s="11" t="s">
        <v>541</v>
      </c>
      <c r="B93" s="11" t="s">
        <v>40</v>
      </c>
      <c r="C93" s="11" t="s">
        <v>522</v>
      </c>
      <c r="D93" s="11" t="s">
        <v>223</v>
      </c>
      <c r="E93" s="12" t="s">
        <v>542</v>
      </c>
      <c r="F93" s="11" t="s">
        <v>543</v>
      </c>
      <c r="G93" s="11" t="s">
        <v>544</v>
      </c>
      <c r="H93" s="11" t="s">
        <v>545</v>
      </c>
      <c r="I93" s="11" t="s">
        <v>24</v>
      </c>
      <c r="J93" s="11" t="s">
        <v>68</v>
      </c>
      <c r="K93" s="13" t="s">
        <v>28</v>
      </c>
      <c r="L93" s="14"/>
      <c r="M93" s="13"/>
    </row>
    <row r="94" customFormat="false" ht="15" hidden="false" customHeight="false" outlineLevel="0" collapsed="false">
      <c r="A94" s="11" t="s">
        <v>546</v>
      </c>
      <c r="B94" s="11" t="s">
        <v>40</v>
      </c>
      <c r="C94" s="11" t="s">
        <v>522</v>
      </c>
      <c r="D94" s="11" t="s">
        <v>223</v>
      </c>
      <c r="E94" s="12" t="s">
        <v>547</v>
      </c>
      <c r="F94" s="11" t="s">
        <v>548</v>
      </c>
      <c r="G94" s="11" t="s">
        <v>549</v>
      </c>
      <c r="H94" s="11" t="s">
        <v>550</v>
      </c>
      <c r="I94" s="11" t="s">
        <v>24</v>
      </c>
      <c r="J94" s="11" t="s">
        <v>68</v>
      </c>
      <c r="K94" s="13" t="s">
        <v>28</v>
      </c>
      <c r="L94" s="14"/>
      <c r="M94" s="13"/>
    </row>
    <row r="95" customFormat="false" ht="23.85" hidden="false" customHeight="false" outlineLevel="0" collapsed="false">
      <c r="A95" s="11" t="s">
        <v>551</v>
      </c>
      <c r="B95" s="11" t="s">
        <v>40</v>
      </c>
      <c r="C95" s="11" t="s">
        <v>229</v>
      </c>
      <c r="D95" s="11" t="s">
        <v>230</v>
      </c>
      <c r="E95" s="12" t="s">
        <v>552</v>
      </c>
      <c r="F95" s="11" t="s">
        <v>553</v>
      </c>
      <c r="G95" s="11" t="s">
        <v>554</v>
      </c>
      <c r="H95" s="11" t="s">
        <v>555</v>
      </c>
      <c r="I95" s="11" t="s">
        <v>98</v>
      </c>
      <c r="J95" s="11" t="s">
        <v>118</v>
      </c>
      <c r="K95" s="13" t="s">
        <v>28</v>
      </c>
      <c r="L95" s="14"/>
      <c r="M95" s="13"/>
    </row>
    <row r="96" customFormat="false" ht="23.85" hidden="false" customHeight="false" outlineLevel="0" collapsed="false">
      <c r="A96" s="11" t="s">
        <v>556</v>
      </c>
      <c r="B96" s="11" t="s">
        <v>42</v>
      </c>
      <c r="C96" s="11" t="s">
        <v>43</v>
      </c>
      <c r="D96" s="11" t="s">
        <v>557</v>
      </c>
      <c r="E96" s="12" t="s">
        <v>558</v>
      </c>
      <c r="F96" s="11" t="s">
        <v>559</v>
      </c>
      <c r="G96" s="11" t="s">
        <v>560</v>
      </c>
      <c r="H96" s="11" t="s">
        <v>561</v>
      </c>
      <c r="I96" s="11" t="s">
        <v>24</v>
      </c>
      <c r="J96" s="11" t="s">
        <v>68</v>
      </c>
      <c r="K96" s="13" t="s">
        <v>28</v>
      </c>
      <c r="L96" s="14"/>
      <c r="M96" s="13"/>
    </row>
    <row r="97" customFormat="false" ht="23.85" hidden="false" customHeight="false" outlineLevel="0" collapsed="false">
      <c r="A97" s="11" t="s">
        <v>562</v>
      </c>
      <c r="B97" s="11" t="s">
        <v>42</v>
      </c>
      <c r="C97" s="11" t="s">
        <v>43</v>
      </c>
      <c r="D97" s="11" t="s">
        <v>557</v>
      </c>
      <c r="E97" s="12" t="s">
        <v>563</v>
      </c>
      <c r="F97" s="11" t="s">
        <v>564</v>
      </c>
      <c r="G97" s="11" t="s">
        <v>565</v>
      </c>
      <c r="H97" s="11" t="s">
        <v>566</v>
      </c>
      <c r="I97" s="11" t="s">
        <v>24</v>
      </c>
      <c r="J97" s="11" t="s">
        <v>68</v>
      </c>
      <c r="K97" s="13" t="s">
        <v>28</v>
      </c>
      <c r="L97" s="14"/>
      <c r="M97" s="13"/>
    </row>
    <row r="98" customFormat="false" ht="23.85" hidden="false" customHeight="false" outlineLevel="0" collapsed="false">
      <c r="A98" s="11" t="s">
        <v>567</v>
      </c>
      <c r="B98" s="11" t="s">
        <v>42</v>
      </c>
      <c r="C98" s="11" t="s">
        <v>43</v>
      </c>
      <c r="D98" s="11" t="s">
        <v>557</v>
      </c>
      <c r="E98" s="12" t="s">
        <v>568</v>
      </c>
      <c r="F98" s="11" t="s">
        <v>569</v>
      </c>
      <c r="G98" s="11" t="s">
        <v>570</v>
      </c>
      <c r="H98" s="11" t="s">
        <v>571</v>
      </c>
      <c r="I98" s="11" t="s">
        <v>24</v>
      </c>
      <c r="J98" s="11" t="s">
        <v>68</v>
      </c>
      <c r="K98" s="13" t="s">
        <v>28</v>
      </c>
      <c r="L98" s="14"/>
      <c r="M98" s="13"/>
    </row>
    <row r="99" customFormat="false" ht="23.85" hidden="false" customHeight="false" outlineLevel="0" collapsed="false">
      <c r="A99" s="11" t="s">
        <v>572</v>
      </c>
      <c r="B99" s="11" t="s">
        <v>42</v>
      </c>
      <c r="C99" s="11" t="s">
        <v>43</v>
      </c>
      <c r="D99" s="11" t="s">
        <v>557</v>
      </c>
      <c r="E99" s="12" t="s">
        <v>573</v>
      </c>
      <c r="F99" s="11" t="s">
        <v>574</v>
      </c>
      <c r="G99" s="11" t="s">
        <v>575</v>
      </c>
      <c r="H99" s="11" t="s">
        <v>576</v>
      </c>
      <c r="I99" s="11" t="s">
        <v>24</v>
      </c>
      <c r="J99" s="11" t="s">
        <v>68</v>
      </c>
      <c r="K99" s="13" t="s">
        <v>28</v>
      </c>
      <c r="L99" s="14"/>
      <c r="M99" s="13"/>
    </row>
    <row r="100" customFormat="false" ht="23.85" hidden="false" customHeight="false" outlineLevel="0" collapsed="false">
      <c r="A100" s="11" t="s">
        <v>577</v>
      </c>
      <c r="B100" s="11" t="s">
        <v>42</v>
      </c>
      <c r="C100" s="11" t="s">
        <v>43</v>
      </c>
      <c r="D100" s="11" t="s">
        <v>557</v>
      </c>
      <c r="E100" s="12" t="s">
        <v>578</v>
      </c>
      <c r="F100" s="11" t="s">
        <v>579</v>
      </c>
      <c r="G100" s="11" t="s">
        <v>580</v>
      </c>
      <c r="H100" s="11" t="s">
        <v>581</v>
      </c>
      <c r="I100" s="11" t="s">
        <v>24</v>
      </c>
      <c r="J100" s="11" t="s">
        <v>68</v>
      </c>
      <c r="K100" s="13" t="s">
        <v>28</v>
      </c>
      <c r="L100" s="14"/>
      <c r="M100" s="13"/>
    </row>
    <row r="101" customFormat="false" ht="23.85" hidden="false" customHeight="false" outlineLevel="0" collapsed="false">
      <c r="A101" s="11" t="s">
        <v>582</v>
      </c>
      <c r="B101" s="11" t="s">
        <v>42</v>
      </c>
      <c r="C101" s="11" t="s">
        <v>43</v>
      </c>
      <c r="D101" s="11" t="s">
        <v>557</v>
      </c>
      <c r="E101" s="12" t="s">
        <v>583</v>
      </c>
      <c r="F101" s="11" t="s">
        <v>584</v>
      </c>
      <c r="G101" s="11" t="s">
        <v>585</v>
      </c>
      <c r="H101" s="11" t="s">
        <v>586</v>
      </c>
      <c r="I101" s="11" t="s">
        <v>24</v>
      </c>
      <c r="J101" s="11" t="s">
        <v>68</v>
      </c>
      <c r="K101" s="13" t="s">
        <v>28</v>
      </c>
      <c r="L101" s="14"/>
      <c r="M101" s="13"/>
    </row>
    <row r="102" customFormat="false" ht="46.25" hidden="false" customHeight="false" outlineLevel="0" collapsed="false">
      <c r="A102" s="11" t="s">
        <v>587</v>
      </c>
      <c r="B102" s="11" t="s">
        <v>42</v>
      </c>
      <c r="C102" s="11" t="s">
        <v>43</v>
      </c>
      <c r="D102" s="11" t="s">
        <v>557</v>
      </c>
      <c r="E102" s="12" t="s">
        <v>588</v>
      </c>
      <c r="F102" s="11" t="s">
        <v>589</v>
      </c>
      <c r="G102" s="11" t="s">
        <v>590</v>
      </c>
      <c r="H102" s="11" t="s">
        <v>591</v>
      </c>
      <c r="I102" s="11" t="s">
        <v>24</v>
      </c>
      <c r="J102" s="11" t="s">
        <v>68</v>
      </c>
      <c r="K102" s="13" t="s">
        <v>28</v>
      </c>
      <c r="L102" s="14"/>
      <c r="M102" s="13"/>
    </row>
    <row r="103" customFormat="false" ht="46.25" hidden="false" customHeight="false" outlineLevel="0" collapsed="false">
      <c r="A103" s="11" t="s">
        <v>592</v>
      </c>
      <c r="B103" s="11" t="s">
        <v>42</v>
      </c>
      <c r="C103" s="11" t="s">
        <v>43</v>
      </c>
      <c r="D103" s="11" t="s">
        <v>557</v>
      </c>
      <c r="E103" s="12" t="s">
        <v>593</v>
      </c>
      <c r="F103" s="11" t="s">
        <v>594</v>
      </c>
      <c r="G103" s="11" t="s">
        <v>595</v>
      </c>
      <c r="H103" s="11" t="s">
        <v>596</v>
      </c>
      <c r="I103" s="11" t="s">
        <v>24</v>
      </c>
      <c r="J103" s="11" t="s">
        <v>68</v>
      </c>
      <c r="K103" s="13" t="s">
        <v>28</v>
      </c>
      <c r="L103" s="14"/>
      <c r="M103" s="13"/>
    </row>
    <row r="104" customFormat="false" ht="35.05" hidden="false" customHeight="false" outlineLevel="0" collapsed="false">
      <c r="A104" s="11" t="s">
        <v>597</v>
      </c>
      <c r="B104" s="11" t="s">
        <v>42</v>
      </c>
      <c r="C104" s="11" t="s">
        <v>43</v>
      </c>
      <c r="D104" s="11" t="s">
        <v>557</v>
      </c>
      <c r="E104" s="12" t="s">
        <v>598</v>
      </c>
      <c r="F104" s="11" t="s">
        <v>599</v>
      </c>
      <c r="G104" s="11" t="s">
        <v>600</v>
      </c>
      <c r="H104" s="11" t="s">
        <v>601</v>
      </c>
      <c r="I104" s="11" t="s">
        <v>24</v>
      </c>
      <c r="J104" s="11" t="s">
        <v>68</v>
      </c>
      <c r="K104" s="13" t="s">
        <v>28</v>
      </c>
      <c r="L104" s="14"/>
      <c r="M104" s="13"/>
    </row>
    <row r="105" customFormat="false" ht="23.85" hidden="false" customHeight="false" outlineLevel="0" collapsed="false">
      <c r="A105" s="11" t="s">
        <v>602</v>
      </c>
      <c r="B105" s="11" t="s">
        <v>42</v>
      </c>
      <c r="C105" s="11" t="s">
        <v>229</v>
      </c>
      <c r="D105" s="11" t="s">
        <v>230</v>
      </c>
      <c r="E105" s="12" t="s">
        <v>603</v>
      </c>
      <c r="F105" s="11" t="s">
        <v>604</v>
      </c>
      <c r="G105" s="11" t="s">
        <v>605</v>
      </c>
      <c r="H105" s="11" t="s">
        <v>606</v>
      </c>
      <c r="I105" s="11" t="s">
        <v>98</v>
      </c>
      <c r="J105" s="11" t="s">
        <v>118</v>
      </c>
      <c r="K105" s="13" t="s">
        <v>28</v>
      </c>
      <c r="L105" s="14"/>
      <c r="M105" s="13"/>
    </row>
    <row r="106" customFormat="false" ht="35.05" hidden="false" customHeight="false" outlineLevel="0" collapsed="false">
      <c r="A106" s="11" t="s">
        <v>607</v>
      </c>
      <c r="B106" s="11" t="s">
        <v>44</v>
      </c>
      <c r="C106" s="11" t="s">
        <v>608</v>
      </c>
      <c r="D106" s="11" t="s">
        <v>609</v>
      </c>
      <c r="E106" s="12" t="s">
        <v>610</v>
      </c>
      <c r="F106" s="11" t="s">
        <v>611</v>
      </c>
      <c r="G106" s="11" t="s">
        <v>612</v>
      </c>
      <c r="H106" s="11" t="s">
        <v>613</v>
      </c>
      <c r="I106" s="11" t="s">
        <v>24</v>
      </c>
      <c r="J106" s="11" t="s">
        <v>68</v>
      </c>
      <c r="K106" s="13" t="s">
        <v>28</v>
      </c>
      <c r="L106" s="14"/>
      <c r="M106" s="13"/>
    </row>
    <row r="107" customFormat="false" ht="23.85" hidden="false" customHeight="false" outlineLevel="0" collapsed="false">
      <c r="A107" s="11" t="s">
        <v>614</v>
      </c>
      <c r="B107" s="11" t="s">
        <v>44</v>
      </c>
      <c r="C107" s="11" t="s">
        <v>608</v>
      </c>
      <c r="D107" s="11" t="s">
        <v>609</v>
      </c>
      <c r="E107" s="12" t="s">
        <v>615</v>
      </c>
      <c r="F107" s="11" t="s">
        <v>616</v>
      </c>
      <c r="G107" s="11" t="s">
        <v>617</v>
      </c>
      <c r="H107" s="11" t="s">
        <v>618</v>
      </c>
      <c r="I107" s="11" t="s">
        <v>24</v>
      </c>
      <c r="J107" s="11" t="s">
        <v>68</v>
      </c>
      <c r="K107" s="13" t="s">
        <v>28</v>
      </c>
      <c r="L107" s="14"/>
      <c r="M107" s="13"/>
    </row>
    <row r="108" customFormat="false" ht="23.85" hidden="false" customHeight="false" outlineLevel="0" collapsed="false">
      <c r="A108" s="11" t="s">
        <v>619</v>
      </c>
      <c r="B108" s="11" t="s">
        <v>44</v>
      </c>
      <c r="C108" s="11" t="s">
        <v>608</v>
      </c>
      <c r="D108" s="11" t="s">
        <v>609</v>
      </c>
      <c r="E108" s="12" t="s">
        <v>620</v>
      </c>
      <c r="F108" s="11" t="s">
        <v>621</v>
      </c>
      <c r="G108" s="11" t="s">
        <v>622</v>
      </c>
      <c r="H108" s="11" t="s">
        <v>623</v>
      </c>
      <c r="I108" s="11" t="s">
        <v>98</v>
      </c>
      <c r="J108" s="11" t="s">
        <v>68</v>
      </c>
      <c r="K108" s="13" t="s">
        <v>28</v>
      </c>
      <c r="L108" s="14"/>
      <c r="M108" s="13"/>
    </row>
    <row r="109" customFormat="false" ht="15" hidden="false" customHeight="false" outlineLevel="0" collapsed="false">
      <c r="A109" s="11" t="s">
        <v>624</v>
      </c>
      <c r="B109" s="11" t="s">
        <v>44</v>
      </c>
      <c r="C109" s="11" t="s">
        <v>608</v>
      </c>
      <c r="D109" s="11" t="s">
        <v>625</v>
      </c>
      <c r="E109" s="12" t="s">
        <v>626</v>
      </c>
      <c r="F109" s="11" t="s">
        <v>627</v>
      </c>
      <c r="G109" s="11" t="s">
        <v>628</v>
      </c>
      <c r="H109" s="11" t="s">
        <v>629</v>
      </c>
      <c r="I109" s="11" t="s">
        <v>98</v>
      </c>
      <c r="J109" s="11" t="s">
        <v>68</v>
      </c>
      <c r="K109" s="13" t="s">
        <v>28</v>
      </c>
      <c r="L109" s="14"/>
      <c r="M109" s="13"/>
    </row>
    <row r="110" customFormat="false" ht="15" hidden="false" customHeight="false" outlineLevel="0" collapsed="false">
      <c r="A110" s="11" t="s">
        <v>630</v>
      </c>
      <c r="B110" s="11" t="s">
        <v>44</v>
      </c>
      <c r="C110" s="11" t="s">
        <v>631</v>
      </c>
      <c r="D110" s="11" t="s">
        <v>632</v>
      </c>
      <c r="E110" s="12" t="s">
        <v>633</v>
      </c>
      <c r="F110" s="11" t="s">
        <v>634</v>
      </c>
      <c r="G110" s="11" t="s">
        <v>635</v>
      </c>
      <c r="H110" s="11" t="s">
        <v>636</v>
      </c>
      <c r="I110" s="11" t="s">
        <v>24</v>
      </c>
      <c r="J110" s="11" t="s">
        <v>68</v>
      </c>
      <c r="K110" s="13" t="s">
        <v>28</v>
      </c>
      <c r="L110" s="14"/>
      <c r="M110" s="13"/>
    </row>
    <row r="111" customFormat="false" ht="23.85" hidden="false" customHeight="false" outlineLevel="0" collapsed="false">
      <c r="A111" s="11" t="s">
        <v>637</v>
      </c>
      <c r="B111" s="11" t="s">
        <v>44</v>
      </c>
      <c r="C111" s="11" t="s">
        <v>631</v>
      </c>
      <c r="D111" s="11" t="s">
        <v>362</v>
      </c>
      <c r="E111" s="12" t="s">
        <v>638</v>
      </c>
      <c r="F111" s="11" t="s">
        <v>639</v>
      </c>
      <c r="G111" s="11" t="s">
        <v>298</v>
      </c>
      <c r="H111" s="11" t="s">
        <v>640</v>
      </c>
      <c r="I111" s="11" t="s">
        <v>98</v>
      </c>
      <c r="J111" s="11" t="s">
        <v>68</v>
      </c>
      <c r="K111" s="13" t="s">
        <v>28</v>
      </c>
      <c r="L111" s="14"/>
      <c r="M111" s="13"/>
    </row>
    <row r="112" customFormat="false" ht="23.85" hidden="false" customHeight="false" outlineLevel="0" collapsed="false">
      <c r="A112" s="11" t="s">
        <v>641</v>
      </c>
      <c r="B112" s="11" t="s">
        <v>44</v>
      </c>
      <c r="C112" s="11" t="s">
        <v>642</v>
      </c>
      <c r="D112" s="11" t="s">
        <v>643</v>
      </c>
      <c r="E112" s="12" t="s">
        <v>644</v>
      </c>
      <c r="F112" s="11" t="s">
        <v>645</v>
      </c>
      <c r="G112" s="11" t="s">
        <v>646</v>
      </c>
      <c r="H112" s="11" t="s">
        <v>647</v>
      </c>
      <c r="I112" s="11" t="s">
        <v>24</v>
      </c>
      <c r="J112" s="11" t="s">
        <v>118</v>
      </c>
      <c r="K112" s="13" t="s">
        <v>28</v>
      </c>
      <c r="L112" s="14"/>
      <c r="M112" s="13"/>
    </row>
    <row r="113" customFormat="false" ht="15" hidden="false" customHeight="false" outlineLevel="0" collapsed="false">
      <c r="A113" s="11" t="s">
        <v>648</v>
      </c>
      <c r="B113" s="11" t="s">
        <v>44</v>
      </c>
      <c r="C113" s="11" t="s">
        <v>642</v>
      </c>
      <c r="D113" s="11" t="s">
        <v>649</v>
      </c>
      <c r="E113" s="12" t="s">
        <v>650</v>
      </c>
      <c r="F113" s="11" t="s">
        <v>651</v>
      </c>
      <c r="G113" s="11" t="s">
        <v>652</v>
      </c>
      <c r="H113" s="11" t="s">
        <v>653</v>
      </c>
      <c r="I113" s="11" t="s">
        <v>98</v>
      </c>
      <c r="J113" s="11" t="s">
        <v>118</v>
      </c>
      <c r="K113" s="13" t="s">
        <v>28</v>
      </c>
      <c r="L113" s="14"/>
      <c r="M113" s="13"/>
    </row>
    <row r="114" customFormat="false" ht="23.85" hidden="false" customHeight="false" outlineLevel="0" collapsed="false">
      <c r="A114" s="11" t="s">
        <v>654</v>
      </c>
      <c r="B114" s="11" t="s">
        <v>44</v>
      </c>
      <c r="C114" s="11" t="s">
        <v>229</v>
      </c>
      <c r="D114" s="11" t="s">
        <v>230</v>
      </c>
      <c r="E114" s="12" t="s">
        <v>655</v>
      </c>
      <c r="F114" s="11" t="s">
        <v>656</v>
      </c>
      <c r="G114" s="11" t="s">
        <v>657</v>
      </c>
      <c r="H114" s="11" t="s">
        <v>658</v>
      </c>
      <c r="I114" s="11" t="s">
        <v>98</v>
      </c>
      <c r="J114" s="11" t="s">
        <v>118</v>
      </c>
      <c r="K114" s="13" t="s">
        <v>28</v>
      </c>
      <c r="L114" s="14"/>
      <c r="M114" s="13"/>
    </row>
    <row r="115" customFormat="false" ht="23.85" hidden="false" customHeight="false" outlineLevel="0" collapsed="false">
      <c r="A115" s="11" t="s">
        <v>659</v>
      </c>
      <c r="B115" s="11" t="s">
        <v>44</v>
      </c>
      <c r="C115" s="11" t="s">
        <v>660</v>
      </c>
      <c r="D115" s="11" t="s">
        <v>133</v>
      </c>
      <c r="E115" s="12" t="s">
        <v>661</v>
      </c>
      <c r="F115" s="11" t="s">
        <v>662</v>
      </c>
      <c r="G115" s="11" t="s">
        <v>663</v>
      </c>
      <c r="H115" s="11" t="s">
        <v>664</v>
      </c>
      <c r="I115" s="11" t="s">
        <v>24</v>
      </c>
      <c r="J115" s="11" t="s">
        <v>118</v>
      </c>
      <c r="K115" s="13" t="s">
        <v>28</v>
      </c>
      <c r="L115" s="14"/>
      <c r="M115" s="13"/>
    </row>
    <row r="116" customFormat="false" ht="15" hidden="false" customHeight="false" outlineLevel="0" collapsed="false">
      <c r="A116" s="11" t="s">
        <v>665</v>
      </c>
      <c r="B116" s="11" t="s">
        <v>44</v>
      </c>
      <c r="C116" s="11" t="s">
        <v>666</v>
      </c>
      <c r="D116" s="11" t="s">
        <v>133</v>
      </c>
      <c r="E116" s="12" t="s">
        <v>667</v>
      </c>
      <c r="F116" s="11" t="s">
        <v>559</v>
      </c>
      <c r="G116" s="11" t="s">
        <v>668</v>
      </c>
      <c r="H116" s="11" t="s">
        <v>669</v>
      </c>
      <c r="I116" s="11" t="s">
        <v>24</v>
      </c>
      <c r="J116" s="11" t="s">
        <v>68</v>
      </c>
      <c r="K116" s="13" t="s">
        <v>28</v>
      </c>
      <c r="L116" s="14"/>
      <c r="M116" s="13"/>
    </row>
    <row r="117" customFormat="false" ht="23.85" hidden="false" customHeight="false" outlineLevel="0" collapsed="false">
      <c r="A117" s="11" t="s">
        <v>670</v>
      </c>
      <c r="B117" s="11" t="s">
        <v>44</v>
      </c>
      <c r="C117" s="11" t="s">
        <v>671</v>
      </c>
      <c r="D117" s="11" t="s">
        <v>133</v>
      </c>
      <c r="E117" s="12" t="s">
        <v>672</v>
      </c>
      <c r="F117" s="11" t="s">
        <v>673</v>
      </c>
      <c r="G117" s="11" t="s">
        <v>674</v>
      </c>
      <c r="H117" s="11" t="s">
        <v>675</v>
      </c>
      <c r="I117" s="11" t="s">
        <v>24</v>
      </c>
      <c r="J117" s="11" t="s">
        <v>68</v>
      </c>
      <c r="K117" s="13" t="s">
        <v>28</v>
      </c>
      <c r="L117" s="14"/>
      <c r="M117" s="13"/>
    </row>
    <row r="118" customFormat="false" ht="15" hidden="false" customHeight="false" outlineLevel="0" collapsed="false">
      <c r="A118" s="11" t="s">
        <v>676</v>
      </c>
      <c r="B118" s="11" t="s">
        <v>44</v>
      </c>
      <c r="C118" s="11" t="s">
        <v>671</v>
      </c>
      <c r="D118" s="11" t="s">
        <v>133</v>
      </c>
      <c r="E118" s="12" t="s">
        <v>677</v>
      </c>
      <c r="F118" s="11" t="s">
        <v>678</v>
      </c>
      <c r="G118" s="11" t="s">
        <v>679</v>
      </c>
      <c r="H118" s="11" t="s">
        <v>680</v>
      </c>
      <c r="I118" s="11" t="s">
        <v>98</v>
      </c>
      <c r="J118" s="11" t="s">
        <v>68</v>
      </c>
      <c r="K118" s="13" t="s">
        <v>28</v>
      </c>
      <c r="L118" s="14"/>
      <c r="M118" s="13"/>
    </row>
    <row r="119" customFormat="false" ht="23.85" hidden="false" customHeight="false" outlineLevel="0" collapsed="false">
      <c r="A119" s="11" t="s">
        <v>681</v>
      </c>
      <c r="B119" s="11" t="s">
        <v>44</v>
      </c>
      <c r="C119" s="11" t="s">
        <v>682</v>
      </c>
      <c r="D119" s="11" t="s">
        <v>133</v>
      </c>
      <c r="E119" s="12" t="s">
        <v>683</v>
      </c>
      <c r="F119" s="11" t="s">
        <v>684</v>
      </c>
      <c r="G119" s="11" t="s">
        <v>685</v>
      </c>
      <c r="H119" s="11" t="s">
        <v>686</v>
      </c>
      <c r="I119" s="11" t="s">
        <v>98</v>
      </c>
      <c r="J119" s="11" t="s">
        <v>68</v>
      </c>
      <c r="K119" s="13" t="s">
        <v>28</v>
      </c>
      <c r="L119" s="14"/>
      <c r="M119" s="13"/>
    </row>
    <row r="120" customFormat="false" ht="23.85" hidden="false" customHeight="false" outlineLevel="0" collapsed="false">
      <c r="A120" s="11" t="s">
        <v>687</v>
      </c>
      <c r="B120" s="11" t="s">
        <v>44</v>
      </c>
      <c r="C120" s="11" t="s">
        <v>120</v>
      </c>
      <c r="D120" s="11" t="s">
        <v>133</v>
      </c>
      <c r="E120" s="12" t="s">
        <v>688</v>
      </c>
      <c r="F120" s="11" t="s">
        <v>689</v>
      </c>
      <c r="G120" s="11" t="s">
        <v>690</v>
      </c>
      <c r="H120" s="11" t="s">
        <v>691</v>
      </c>
      <c r="I120" s="11" t="s">
        <v>98</v>
      </c>
      <c r="J120" s="11" t="s">
        <v>118</v>
      </c>
      <c r="K120" s="13" t="s">
        <v>28</v>
      </c>
      <c r="L120" s="14"/>
      <c r="M120" s="13"/>
    </row>
    <row r="121" customFormat="false" ht="15" hidden="false" customHeight="false" outlineLevel="0" collapsed="false">
      <c r="A121" s="11" t="s">
        <v>692</v>
      </c>
      <c r="B121" s="11" t="s">
        <v>44</v>
      </c>
      <c r="C121" s="11" t="s">
        <v>631</v>
      </c>
      <c r="D121" s="11" t="s">
        <v>632</v>
      </c>
      <c r="E121" s="12" t="s">
        <v>693</v>
      </c>
      <c r="F121" s="11" t="s">
        <v>694</v>
      </c>
      <c r="G121" s="11" t="s">
        <v>695</v>
      </c>
      <c r="H121" s="11" t="s">
        <v>696</v>
      </c>
      <c r="I121" s="11" t="s">
        <v>98</v>
      </c>
      <c r="J121" s="11" t="s">
        <v>68</v>
      </c>
      <c r="K121" s="13" t="s">
        <v>28</v>
      </c>
      <c r="L121" s="14"/>
      <c r="M121" s="13"/>
    </row>
    <row r="122" customFormat="false" ht="23.85" hidden="false" customHeight="false" outlineLevel="0" collapsed="false">
      <c r="A122" s="11" t="s">
        <v>697</v>
      </c>
      <c r="B122" s="11" t="s">
        <v>46</v>
      </c>
      <c r="C122" s="11" t="s">
        <v>698</v>
      </c>
      <c r="D122" s="11" t="s">
        <v>699</v>
      </c>
      <c r="E122" s="12" t="s">
        <v>700</v>
      </c>
      <c r="F122" s="11" t="s">
        <v>701</v>
      </c>
      <c r="G122" s="11" t="s">
        <v>702</v>
      </c>
      <c r="H122" s="11" t="s">
        <v>703</v>
      </c>
      <c r="I122" s="11" t="s">
        <v>24</v>
      </c>
      <c r="J122" s="11" t="s">
        <v>68</v>
      </c>
      <c r="K122" s="13" t="s">
        <v>28</v>
      </c>
      <c r="L122" s="14"/>
      <c r="M122" s="13"/>
    </row>
    <row r="123" customFormat="false" ht="23.85" hidden="false" customHeight="false" outlineLevel="0" collapsed="false">
      <c r="A123" s="11" t="s">
        <v>704</v>
      </c>
      <c r="B123" s="11" t="s">
        <v>46</v>
      </c>
      <c r="C123" s="11" t="s">
        <v>698</v>
      </c>
      <c r="D123" s="11" t="s">
        <v>705</v>
      </c>
      <c r="E123" s="12" t="s">
        <v>706</v>
      </c>
      <c r="F123" s="11" t="s">
        <v>707</v>
      </c>
      <c r="G123" s="11" t="s">
        <v>708</v>
      </c>
      <c r="H123" s="11" t="s">
        <v>709</v>
      </c>
      <c r="I123" s="11" t="s">
        <v>24</v>
      </c>
      <c r="J123" s="11" t="s">
        <v>68</v>
      </c>
      <c r="K123" s="13" t="s">
        <v>28</v>
      </c>
      <c r="L123" s="14"/>
      <c r="M123" s="13"/>
    </row>
    <row r="124" customFormat="false" ht="15" hidden="false" customHeight="false" outlineLevel="0" collapsed="false">
      <c r="A124" s="11" t="s">
        <v>710</v>
      </c>
      <c r="B124" s="11" t="s">
        <v>46</v>
      </c>
      <c r="C124" s="11" t="s">
        <v>698</v>
      </c>
      <c r="D124" s="11" t="s">
        <v>705</v>
      </c>
      <c r="E124" s="12" t="s">
        <v>711</v>
      </c>
      <c r="F124" s="11" t="s">
        <v>712</v>
      </c>
      <c r="G124" s="11" t="s">
        <v>713</v>
      </c>
      <c r="H124" s="11" t="s">
        <v>714</v>
      </c>
      <c r="I124" s="11" t="s">
        <v>24</v>
      </c>
      <c r="J124" s="11" t="s">
        <v>68</v>
      </c>
      <c r="K124" s="13" t="s">
        <v>28</v>
      </c>
      <c r="L124" s="14"/>
      <c r="M124" s="13"/>
    </row>
    <row r="125" customFormat="false" ht="23.85" hidden="false" customHeight="false" outlineLevel="0" collapsed="false">
      <c r="A125" s="11" t="s">
        <v>715</v>
      </c>
      <c r="B125" s="11" t="s">
        <v>46</v>
      </c>
      <c r="C125" s="11" t="s">
        <v>698</v>
      </c>
      <c r="D125" s="11" t="s">
        <v>705</v>
      </c>
      <c r="E125" s="12" t="s">
        <v>716</v>
      </c>
      <c r="F125" s="11" t="s">
        <v>717</v>
      </c>
      <c r="G125" s="11" t="s">
        <v>718</v>
      </c>
      <c r="H125" s="11" t="s">
        <v>719</v>
      </c>
      <c r="I125" s="11" t="s">
        <v>98</v>
      </c>
      <c r="J125" s="11" t="s">
        <v>68</v>
      </c>
      <c r="K125" s="13" t="s">
        <v>28</v>
      </c>
      <c r="L125" s="14"/>
      <c r="M125" s="13"/>
    </row>
  </sheetData>
  <autoFilter ref="A1:M125"/>
  <conditionalFormatting sqref="K2:K125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</conditionalFormatting>
  <conditionalFormatting sqref="I2:I125">
    <cfRule type="cellIs" priority="5" operator="equal" aboveAverage="0" equalAverage="0" bottom="0" percent="0" rank="0" text="" dxfId="8">
      <formula>"Must"</formula>
    </cfRule>
  </conditionalFormatting>
  <dataValidations count="2">
    <dataValidation allowBlank="false" error="Choose Not run, Pass, Fail or Blocked" errorStyle="stop" operator="between" showDropDown="false" showErrorMessage="false" showInputMessage="false" sqref="K2:K125" type="list">
      <formula1>"Not run,Pass,Fail,Blocked"</formula1>
      <formula2>0</formula2>
    </dataValidation>
    <dataValidation allowBlank="true" error="Enter a date, e.g. 2026-11-03" errorStyle="stop" operator="greaterThan" showDropDown="false" showErrorMessage="false" showInputMessage="false" sqref="L2:L125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2026-10-29T19:45:16Z</dcterms:created>
  <dc:creator>openpyxl</dc:creator>
  <dc:description/>
  <dc:language>en-US</dc:language>
  <cp:lastModifiedBy/>
  <dcterms:modified xsi:type="dcterms:W3CDTF">2026-10-29T19:45:16Z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